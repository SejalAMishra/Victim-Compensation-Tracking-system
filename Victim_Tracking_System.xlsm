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drawings/drawing4.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24226"/>
  <mc:AlternateContent xmlns:mc="http://schemas.openxmlformats.org/markup-compatibility/2006">
    <mc:Choice Requires="x15">
      <x15ac:absPath xmlns:x15ac="http://schemas.microsoft.com/office/spreadsheetml/2010/11/ac" url="C:\Users\DELL\Desktop\"/>
    </mc:Choice>
  </mc:AlternateContent>
  <xr:revisionPtr revIDLastSave="0" documentId="13_ncr:1_{19609C5B-9970-4AF3-B4CB-92A4EA8E01D3}" xr6:coauthVersionLast="47" xr6:coauthVersionMax="47" xr10:uidLastSave="{00000000-0000-0000-0000-000000000000}"/>
  <bookViews>
    <workbookView xWindow="-110" yWindow="-110" windowWidth="19420" windowHeight="10420" activeTab="4" xr2:uid="{00000000-000D-0000-FFFF-FFFF00000000}"/>
  </bookViews>
  <sheets>
    <sheet name="case_data" sheetId="1" r:id="rId1"/>
    <sheet name="FAQ_data" sheetId="5" r:id="rId2"/>
    <sheet name="Query_System" sheetId="4" r:id="rId3"/>
    <sheet name="Pivot_table" sheetId="10" r:id="rId4"/>
    <sheet name="Dashboard" sheetId="12" r:id="rId5"/>
    <sheet name="Calculations" sheetId="13" r:id="rId6"/>
  </sheets>
  <definedNames>
    <definedName name="Slicer_Application_Date">#N/A</definedName>
    <definedName name="Slicer_Approval_Status">#N/A</definedName>
    <definedName name="Slicer_District">#N/A</definedName>
  </definedNames>
  <calcPr calcId="191029"/>
  <pivotCaches>
    <pivotCache cacheId="0" r:id="rId7"/>
    <pivotCache cacheId="1" r:id="rId8"/>
  </pivotCaches>
  <extLs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Lst>
</workbook>
</file>

<file path=xl/calcChain.xml><?xml version="1.0" encoding="utf-8"?>
<calcChain xmlns="http://schemas.openxmlformats.org/spreadsheetml/2006/main">
  <c r="B11" i="13" l="1"/>
  <c r="B10" i="13"/>
  <c r="B9" i="13"/>
  <c r="B14" i="13"/>
  <c r="B13" i="13"/>
  <c r="B12" i="13"/>
  <c r="B8" i="13"/>
  <c r="B7" i="13"/>
  <c r="B5" i="13"/>
  <c r="B6" i="13"/>
  <c r="B4" i="13"/>
  <c r="B3" i="13"/>
  <c r="B2" i="13"/>
</calcChain>
</file>

<file path=xl/sharedStrings.xml><?xml version="1.0" encoding="utf-8"?>
<sst xmlns="http://schemas.openxmlformats.org/spreadsheetml/2006/main" count="1025" uniqueCount="217">
  <si>
    <t>Case_ID</t>
  </si>
  <si>
    <t>District</t>
  </si>
  <si>
    <t>Gender</t>
  </si>
  <si>
    <t>Application_Date</t>
  </si>
  <si>
    <t>Compensation_Amount</t>
  </si>
  <si>
    <t>Approval_Status</t>
  </si>
  <si>
    <t>CASE001</t>
  </si>
  <si>
    <t>CASE002</t>
  </si>
  <si>
    <t>CASE003</t>
  </si>
  <si>
    <t>CASE004</t>
  </si>
  <si>
    <t>CASE005</t>
  </si>
  <si>
    <t>CASE006</t>
  </si>
  <si>
    <t>CASE007</t>
  </si>
  <si>
    <t>CASE008</t>
  </si>
  <si>
    <t>CASE009</t>
  </si>
  <si>
    <t>CASE010</t>
  </si>
  <si>
    <t>CASE011</t>
  </si>
  <si>
    <t>CASE012</t>
  </si>
  <si>
    <t>CASE013</t>
  </si>
  <si>
    <t>CASE014</t>
  </si>
  <si>
    <t>CASE015</t>
  </si>
  <si>
    <t>CASE016</t>
  </si>
  <si>
    <t>CASE017</t>
  </si>
  <si>
    <t>CASE018</t>
  </si>
  <si>
    <t>CASE019</t>
  </si>
  <si>
    <t>CASE020</t>
  </si>
  <si>
    <t>CASE021</t>
  </si>
  <si>
    <t>CASE022</t>
  </si>
  <si>
    <t>CASE023</t>
  </si>
  <si>
    <t>CASE024</t>
  </si>
  <si>
    <t>CASE025</t>
  </si>
  <si>
    <t>CASE026</t>
  </si>
  <si>
    <t>CASE027</t>
  </si>
  <si>
    <t>CASE028</t>
  </si>
  <si>
    <t>CASE029</t>
  </si>
  <si>
    <t>CASE030</t>
  </si>
  <si>
    <t>CASE031</t>
  </si>
  <si>
    <t>CASE032</t>
  </si>
  <si>
    <t>CASE033</t>
  </si>
  <si>
    <t>CASE034</t>
  </si>
  <si>
    <t>CASE035</t>
  </si>
  <si>
    <t>CASE036</t>
  </si>
  <si>
    <t>CASE037</t>
  </si>
  <si>
    <t>CASE038</t>
  </si>
  <si>
    <t>CASE039</t>
  </si>
  <si>
    <t>CASE040</t>
  </si>
  <si>
    <t>CASE041</t>
  </si>
  <si>
    <t>CASE042</t>
  </si>
  <si>
    <t>CASE043</t>
  </si>
  <si>
    <t>CASE044</t>
  </si>
  <si>
    <t>CASE045</t>
  </si>
  <si>
    <t>CASE046</t>
  </si>
  <si>
    <t>CASE047</t>
  </si>
  <si>
    <t>CASE048</t>
  </si>
  <si>
    <t>CASE049</t>
  </si>
  <si>
    <t>CASE050</t>
  </si>
  <si>
    <t>CASE051</t>
  </si>
  <si>
    <t>CASE052</t>
  </si>
  <si>
    <t>CASE053</t>
  </si>
  <si>
    <t>CASE054</t>
  </si>
  <si>
    <t>CASE055</t>
  </si>
  <si>
    <t>CASE056</t>
  </si>
  <si>
    <t>CASE057</t>
  </si>
  <si>
    <t>CASE058</t>
  </si>
  <si>
    <t>CASE059</t>
  </si>
  <si>
    <t>CASE060</t>
  </si>
  <si>
    <t>CASE061</t>
  </si>
  <si>
    <t>CASE062</t>
  </si>
  <si>
    <t>CASE063</t>
  </si>
  <si>
    <t>CASE064</t>
  </si>
  <si>
    <t>CASE065</t>
  </si>
  <si>
    <t>CASE066</t>
  </si>
  <si>
    <t>CASE067</t>
  </si>
  <si>
    <t>CASE068</t>
  </si>
  <si>
    <t>CASE069</t>
  </si>
  <si>
    <t>CASE070</t>
  </si>
  <si>
    <t>CASE071</t>
  </si>
  <si>
    <t>CASE072</t>
  </si>
  <si>
    <t>CASE073</t>
  </si>
  <si>
    <t>CASE074</t>
  </si>
  <si>
    <t>CASE075</t>
  </si>
  <si>
    <t>CASE076</t>
  </si>
  <si>
    <t>CASE077</t>
  </si>
  <si>
    <t>CASE078</t>
  </si>
  <si>
    <t>CASE079</t>
  </si>
  <si>
    <t>CASE080</t>
  </si>
  <si>
    <t>CASE081</t>
  </si>
  <si>
    <t>CASE082</t>
  </si>
  <si>
    <t>CASE083</t>
  </si>
  <si>
    <t>CASE084</t>
  </si>
  <si>
    <t>CASE085</t>
  </si>
  <si>
    <t>CASE086</t>
  </si>
  <si>
    <t>CASE087</t>
  </si>
  <si>
    <t>CASE088</t>
  </si>
  <si>
    <t>CASE089</t>
  </si>
  <si>
    <t>CASE090</t>
  </si>
  <si>
    <t>CASE091</t>
  </si>
  <si>
    <t>CASE092</t>
  </si>
  <si>
    <t>CASE093</t>
  </si>
  <si>
    <t>CASE094</t>
  </si>
  <si>
    <t>CASE095</t>
  </si>
  <si>
    <t>CASE096</t>
  </si>
  <si>
    <t>CASE097</t>
  </si>
  <si>
    <t>CASE098</t>
  </si>
  <si>
    <t>CASE099</t>
  </si>
  <si>
    <t>CASE100</t>
  </si>
  <si>
    <t>CASE101</t>
  </si>
  <si>
    <t>CASE102</t>
  </si>
  <si>
    <t>CASE103</t>
  </si>
  <si>
    <t>CASE104</t>
  </si>
  <si>
    <t>CASE105</t>
  </si>
  <si>
    <t>CASE106</t>
  </si>
  <si>
    <t>CASE107</t>
  </si>
  <si>
    <t>CASE108</t>
  </si>
  <si>
    <t>CASE109</t>
  </si>
  <si>
    <t>CASE110</t>
  </si>
  <si>
    <t>CASE111</t>
  </si>
  <si>
    <t>CASE112</t>
  </si>
  <si>
    <t>CASE113</t>
  </si>
  <si>
    <t>CASE114</t>
  </si>
  <si>
    <t>CASE115</t>
  </si>
  <si>
    <t>CASE116</t>
  </si>
  <si>
    <t>CASE117</t>
  </si>
  <si>
    <t>CASE118</t>
  </si>
  <si>
    <t>CASE119</t>
  </si>
  <si>
    <t>CASE120</t>
  </si>
  <si>
    <t>Nashik</t>
  </si>
  <si>
    <t>Mumbai</t>
  </si>
  <si>
    <t>Nagpur</t>
  </si>
  <si>
    <t>Kolhapur</t>
  </si>
  <si>
    <t>Pune</t>
  </si>
  <si>
    <t>Amravati</t>
  </si>
  <si>
    <t>Female</t>
  </si>
  <si>
    <t>Male</t>
  </si>
  <si>
    <t>Child Abuse</t>
  </si>
  <si>
    <t>Domestic Violence</t>
  </si>
  <si>
    <t>Approved</t>
  </si>
  <si>
    <t>Pending</t>
  </si>
  <si>
    <t>Cyber Crime</t>
  </si>
  <si>
    <t>Human Trafficking</t>
  </si>
  <si>
    <t>Fraud</t>
  </si>
  <si>
    <t>Assault</t>
  </si>
  <si>
    <t>Pending days</t>
  </si>
  <si>
    <t>Risk level</t>
  </si>
  <si>
    <t>High Delay</t>
  </si>
  <si>
    <t>High</t>
  </si>
  <si>
    <t>Alert Flag</t>
  </si>
  <si>
    <t>Medium</t>
  </si>
  <si>
    <t>Delay</t>
  </si>
  <si>
    <t>Answer</t>
  </si>
  <si>
    <t>Keywords</t>
  </si>
  <si>
    <t>Question</t>
  </si>
  <si>
    <t>compensation, money, help</t>
  </si>
  <si>
    <t>What is compensation?</t>
  </si>
  <si>
    <t>Compensation is financial help given to victims...</t>
  </si>
  <si>
    <t>apply, process, form</t>
  </si>
  <si>
    <t>How to apply?</t>
  </si>
  <si>
    <t>You need to fill application form under CrPC 357A...</t>
  </si>
  <si>
    <t>documents, proof</t>
  </si>
  <si>
    <t>Required documents?</t>
  </si>
  <si>
    <t>FIR copy, ID proof, medical report...</t>
  </si>
  <si>
    <t>delay, time</t>
  </si>
  <si>
    <t>Why delay happens?</t>
  </si>
  <si>
    <t>Delay happens due to verification and approval process...</t>
  </si>
  <si>
    <t>Victim Compensation Query Tool</t>
  </si>
  <si>
    <t>Enter Your Question :</t>
  </si>
  <si>
    <t>Answer :</t>
  </si>
  <si>
    <t>eligibility, qualify, who</t>
  </si>
  <si>
    <t>Who is eligible?</t>
  </si>
  <si>
    <t>Victims of crimes or their dependents are eligible for compensation.</t>
  </si>
  <si>
    <t>amount, money, benefit</t>
  </si>
  <si>
    <t>How much compensation is given?</t>
  </si>
  <si>
    <t>Amount depends on the type of crime and government rules.</t>
  </si>
  <si>
    <t>status, check, track</t>
  </si>
  <si>
    <t>How to check application status?</t>
  </si>
  <si>
    <t>You can check status through the authority or official portal.</t>
  </si>
  <si>
    <t>rejection, denied, reason</t>
  </si>
  <si>
    <t>Why was my application rejected?</t>
  </si>
  <si>
    <t>It may be due to incomplete documents or not meeting eligibility criteria.</t>
  </si>
  <si>
    <t>FIR, police, complaint</t>
  </si>
  <si>
    <t>Is FIR required?</t>
  </si>
  <si>
    <t>Yes, FIR is required as proof of the incident.</t>
  </si>
  <si>
    <t>payment, bank, transfer</t>
  </si>
  <si>
    <t>How is payment given?</t>
  </si>
  <si>
    <t>Compensation is transferred directly to the victim’s bank account.</t>
  </si>
  <si>
    <t>Delay Forecast</t>
  </si>
  <si>
    <t>Case_Type</t>
  </si>
  <si>
    <t>Paid_Amount</t>
  </si>
  <si>
    <t>On Time</t>
  </si>
  <si>
    <t>Low</t>
  </si>
  <si>
    <t>ALERT</t>
  </si>
  <si>
    <t>Row Labels</t>
  </si>
  <si>
    <t>Grand Total</t>
  </si>
  <si>
    <t>total_cases</t>
  </si>
  <si>
    <t>Count of Case_ID</t>
  </si>
  <si>
    <t>Sum of Compensation_Amount</t>
  </si>
  <si>
    <t>Sum of Paid_Amount</t>
  </si>
  <si>
    <t>2025</t>
  </si>
  <si>
    <t>2026</t>
  </si>
  <si>
    <t>total cases</t>
  </si>
  <si>
    <t>pending</t>
  </si>
  <si>
    <t>approved</t>
  </si>
  <si>
    <t>high risk</t>
  </si>
  <si>
    <t>alert</t>
  </si>
  <si>
    <t>(blank)</t>
  </si>
  <si>
    <t>pending %</t>
  </si>
  <si>
    <t>approved card text</t>
  </si>
  <si>
    <t>Pending Card Text</t>
  </si>
  <si>
    <r>
      <t>approval</t>
    </r>
    <r>
      <rPr>
        <strike/>
        <sz val="11"/>
        <color theme="1"/>
        <rFont val="Calibri"/>
        <family val="2"/>
        <scheme val="minor"/>
      </rPr>
      <t xml:space="preserve"> </t>
    </r>
    <r>
      <rPr>
        <sz val="11"/>
        <color theme="1"/>
        <rFont val="Calibri"/>
        <family val="2"/>
        <scheme val="minor"/>
      </rPr>
      <t>%</t>
    </r>
  </si>
  <si>
    <t xml:space="preserve">high risk card text </t>
  </si>
  <si>
    <r>
      <t xml:space="preserve">risk </t>
    </r>
    <r>
      <rPr>
        <strike/>
        <sz val="11"/>
        <color theme="1"/>
        <rFont val="Calibri"/>
        <family val="2"/>
        <scheme val="minor"/>
      </rPr>
      <t>%</t>
    </r>
  </si>
  <si>
    <t>alert %</t>
  </si>
  <si>
    <t>alert card text</t>
  </si>
  <si>
    <t>Highest Cases District</t>
  </si>
  <si>
    <t>district</t>
  </si>
  <si>
    <t>formula</t>
  </si>
  <si>
    <t>high cases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</si>
</sst>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14009]dd/mm/yyyy;@"/>
  </numFmts>
  <fonts count="15" x14ac:knownFonts="1">
    <font>
      <sz val="11"/>
      <color theme="1"/>
      <name val="Calibri"/>
      <family val="2"/>
      <scheme val="minor"/>
    </font>
    <font>
      <b/>
      <sz val="11"/>
      <color theme="1"/>
      <name val="Calibri"/>
      <family val="2"/>
      <scheme val="minor"/>
    </font>
    <font>
      <b/>
      <sz val="26"/>
      <color theme="1"/>
      <name val="Calibri"/>
      <family val="2"/>
      <scheme val="minor"/>
    </font>
    <font>
      <b/>
      <sz val="18"/>
      <color theme="1"/>
      <name val="Calibri"/>
      <family val="2"/>
      <scheme val="minor"/>
    </font>
    <font>
      <b/>
      <sz val="12"/>
      <color rgb="FF00CCFF"/>
      <name val="Calibri"/>
      <family val="2"/>
    </font>
    <font>
      <sz val="14"/>
      <color rgb="FF000000"/>
      <name val="Calibri"/>
      <family val="2"/>
    </font>
    <font>
      <sz val="11"/>
      <color rgb="FF000000"/>
      <name val="Calibri"/>
      <family val="2"/>
    </font>
    <font>
      <b/>
      <sz val="24"/>
      <color theme="1"/>
      <name val="Calibri"/>
      <family val="2"/>
      <scheme val="minor"/>
    </font>
    <font>
      <sz val="8"/>
      <name val="Calibri"/>
      <family val="2"/>
      <scheme val="minor"/>
    </font>
    <font>
      <b/>
      <sz val="9"/>
      <color theme="4" tint="-0.499984740745262"/>
      <name val="Calibri"/>
      <family val="2"/>
      <scheme val="minor"/>
    </font>
    <font>
      <b/>
      <sz val="9"/>
      <color theme="1"/>
      <name val="Calibri"/>
      <family val="2"/>
      <scheme val="minor"/>
    </font>
    <font>
      <b/>
      <sz val="9"/>
      <color theme="1" tint="4.9989318521683403E-2"/>
      <name val="Calibri"/>
      <family val="2"/>
      <scheme val="minor"/>
    </font>
    <font>
      <sz val="11"/>
      <color theme="1"/>
      <name val="Calibri"/>
      <family val="2"/>
      <scheme val="minor"/>
    </font>
    <font>
      <strike/>
      <sz val="11"/>
      <color theme="1"/>
      <name val="Calibri"/>
      <family val="2"/>
      <scheme val="minor"/>
    </font>
    <font>
      <sz val="14"/>
      <color theme="1"/>
      <name val="Calibri"/>
      <family val="2"/>
      <scheme val="minor"/>
    </font>
  </fonts>
  <fills count="10">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rgb="FF0070C0"/>
        <bgColor indexed="64"/>
      </patternFill>
    </fill>
    <fill>
      <patternFill patternType="solid">
        <fgColor rgb="FF00FF00"/>
        <bgColor indexed="64"/>
      </patternFill>
    </fill>
    <fill>
      <patternFill patternType="solid">
        <fgColor theme="2" tint="-0.249977111117893"/>
        <bgColor indexed="64"/>
      </patternFill>
    </fill>
    <fill>
      <patternFill patternType="solid">
        <fgColor theme="3" tint="0.59999389629810485"/>
        <bgColor indexed="64"/>
      </patternFill>
    </fill>
    <fill>
      <patternFill patternType="solid">
        <fgColor theme="5"/>
        <bgColor indexed="64"/>
      </patternFill>
    </fill>
    <fill>
      <patternFill patternType="solid">
        <fgColor theme="5" tint="0.39997558519241921"/>
        <bgColor indexed="64"/>
      </patternFill>
    </fill>
  </fills>
  <borders count="7">
    <border>
      <left/>
      <right/>
      <top/>
      <bottom/>
      <diagonal/>
    </border>
    <border>
      <left style="thin">
        <color auto="1"/>
      </left>
      <right style="thin">
        <color auto="1"/>
      </right>
      <top style="thin">
        <color auto="1"/>
      </top>
      <bottom style="thin">
        <color auto="1"/>
      </bottom>
      <diagonal/>
    </border>
    <border>
      <left style="thin">
        <color auto="1"/>
      </left>
      <right/>
      <top/>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2">
    <xf numFmtId="0" fontId="0" fillId="0" borderId="0"/>
    <xf numFmtId="9" fontId="12" fillId="0" borderId="0" applyFont="0" applyFill="0" applyBorder="0" applyAlignment="0" applyProtection="0"/>
  </cellStyleXfs>
  <cellXfs count="38">
    <xf numFmtId="0" fontId="0" fillId="0" borderId="0" xfId="0"/>
    <xf numFmtId="0" fontId="1" fillId="0" borderId="1" xfId="0" applyFont="1" applyBorder="1" applyAlignment="1">
      <alignment horizontal="center" vertical="top"/>
    </xf>
    <xf numFmtId="0" fontId="1" fillId="0" borderId="0" xfId="0" applyFont="1"/>
    <xf numFmtId="0" fontId="0" fillId="2" borderId="0" xfId="0" applyFill="1"/>
    <xf numFmtId="0" fontId="0" fillId="3" borderId="0" xfId="0" applyFill="1"/>
    <xf numFmtId="164" fontId="1" fillId="0" borderId="1" xfId="0" applyNumberFormat="1" applyFont="1" applyBorder="1" applyAlignment="1">
      <alignment horizontal="center" vertical="top"/>
    </xf>
    <xf numFmtId="164" fontId="0" fillId="0" borderId="0" xfId="0" applyNumberFormat="1"/>
    <xf numFmtId="0" fontId="0" fillId="0" borderId="2" xfId="0" applyBorder="1"/>
    <xf numFmtId="0" fontId="0" fillId="5" borderId="0" xfId="0" applyFill="1"/>
    <xf numFmtId="0" fontId="3" fillId="6" borderId="0" xfId="0" applyFont="1" applyFill="1"/>
    <xf numFmtId="0" fontId="0" fillId="6" borderId="0" xfId="0" applyFill="1"/>
    <xf numFmtId="0" fontId="0" fillId="7" borderId="0" xfId="0" applyFill="1"/>
    <xf numFmtId="0" fontId="1" fillId="8" borderId="0" xfId="0" applyFont="1" applyFill="1" applyAlignment="1">
      <alignment horizontal="center" vertical="center" wrapText="1"/>
    </xf>
    <xf numFmtId="0" fontId="0" fillId="9" borderId="3" xfId="0" applyFill="1" applyBorder="1" applyAlignment="1">
      <alignment vertical="center" wrapText="1"/>
    </xf>
    <xf numFmtId="0" fontId="0" fillId="9" borderId="1" xfId="0" applyFill="1" applyBorder="1" applyAlignment="1">
      <alignment vertical="center" wrapText="1"/>
    </xf>
    <xf numFmtId="0" fontId="0" fillId="9" borderId="4" xfId="0" applyFill="1" applyBorder="1" applyAlignment="1">
      <alignment vertical="center" wrapText="1"/>
    </xf>
    <xf numFmtId="0" fontId="0" fillId="9" borderId="1" xfId="0" applyFill="1" applyBorder="1" applyAlignment="1">
      <alignment horizontal="left" vertical="center" wrapText="1"/>
    </xf>
    <xf numFmtId="0" fontId="1" fillId="8" borderId="1" xfId="0" applyFont="1" applyFill="1" applyBorder="1" applyAlignment="1">
      <alignment horizontal="center" vertical="center" wrapText="1"/>
    </xf>
    <xf numFmtId="0" fontId="0" fillId="0" borderId="6" xfId="0" applyBorder="1"/>
    <xf numFmtId="0" fontId="0" fillId="9" borderId="5" xfId="0" applyFill="1" applyBorder="1" applyAlignment="1">
      <alignment vertical="center" wrapText="1"/>
    </xf>
    <xf numFmtId="0" fontId="0" fillId="9" borderId="6" xfId="0" applyFill="1" applyBorder="1" applyAlignment="1">
      <alignment vertical="center" wrapText="1"/>
    </xf>
    <xf numFmtId="0" fontId="0" fillId="0" borderId="0" xfId="0" pivotButton="1"/>
    <xf numFmtId="0" fontId="0" fillId="0" borderId="0" xfId="0" applyAlignment="1">
      <alignment horizontal="left"/>
    </xf>
    <xf numFmtId="0" fontId="9" fillId="0" borderId="0" xfId="0" applyFont="1"/>
    <xf numFmtId="0" fontId="10" fillId="0" borderId="0" xfId="0" applyFont="1"/>
    <xf numFmtId="0" fontId="0" fillId="0" borderId="0" xfId="0" applyAlignment="1">
      <alignment wrapText="1"/>
    </xf>
    <xf numFmtId="0" fontId="7" fillId="0" borderId="0" xfId="0" applyFont="1" applyAlignment="1">
      <alignment horizontal="center"/>
    </xf>
    <xf numFmtId="0" fontId="7" fillId="0" borderId="0" xfId="0" applyFont="1" applyAlignment="1">
      <alignment horizontal="center" wrapText="1"/>
    </xf>
    <xf numFmtId="0" fontId="11" fillId="0" borderId="0" xfId="0" applyFont="1" applyAlignment="1">
      <alignment wrapText="1"/>
    </xf>
    <xf numFmtId="0" fontId="1" fillId="0" borderId="0" xfId="0" applyFont="1" applyAlignment="1">
      <alignment horizontal="center"/>
    </xf>
    <xf numFmtId="9" fontId="0" fillId="0" borderId="0" xfId="1" applyFont="1"/>
    <xf numFmtId="10" fontId="0" fillId="0" borderId="0" xfId="0" applyNumberFormat="1"/>
    <xf numFmtId="0" fontId="2" fillId="4" borderId="0" xfId="0" applyFont="1" applyFill="1" applyAlignment="1">
      <alignment horizontal="center"/>
    </xf>
    <xf numFmtId="0" fontId="1" fillId="4" borderId="0" xfId="0" applyFont="1" applyFill="1" applyAlignment="1">
      <alignment horizontal="center"/>
    </xf>
    <xf numFmtId="0" fontId="0" fillId="7" borderId="0" xfId="0" applyFill="1" applyAlignment="1">
      <alignment horizontal="center"/>
    </xf>
    <xf numFmtId="0" fontId="0" fillId="0" borderId="0" xfId="0" applyNumberFormat="1"/>
    <xf numFmtId="0" fontId="14" fillId="0" borderId="0" xfId="0" applyFont="1" applyAlignment="1"/>
    <xf numFmtId="0" fontId="0" fillId="0" borderId="0" xfId="0" applyAlignment="1"/>
  </cellXfs>
  <cellStyles count="2">
    <cellStyle name="Normal" xfId="0" builtinId="0"/>
    <cellStyle name="Percent" xfId="1" builtinId="5"/>
  </cellStyles>
  <dxfs count="4">
    <dxf>
      <fill>
        <patternFill patternType="solid">
          <fgColor indexed="64"/>
          <bgColor rgb="FFFF0000"/>
        </patternFill>
      </fill>
    </dxf>
    <dxf>
      <numFmt numFmtId="164" formatCode="[$-14009]dd/mm/yyyy;@"/>
    </dxf>
    <dxf>
      <font>
        <b/>
        <i val="0"/>
        <strike val="0"/>
        <condense val="0"/>
        <extend val="0"/>
        <outline val="0"/>
        <shadow val="0"/>
        <u val="none"/>
        <vertAlign val="baseline"/>
        <sz val="11"/>
        <color theme="1"/>
        <name val="Calibri"/>
        <family val="2"/>
        <scheme val="minor"/>
      </font>
    </dxf>
    <dxf>
      <font>
        <color theme="4" tint="-0.24994659260841701"/>
      </font>
    </dxf>
  </dxfs>
  <tableStyles count="2" defaultTableStyle="TableStyleMedium9" defaultPivotStyle="PivotStyleLight16">
    <tableStyle name="PivotTable Style 1" table="0" count="0" xr9:uid="{C2C754C9-A8FE-44EE-ADEA-2346F8BCE849}"/>
    <tableStyle name="Slicer Style 1" pivot="0" table="0" count="1" xr9:uid="{DF6D6B0D-C699-4E23-AAA4-BC95392FF009}">
      <tableStyleElement type="headerRow" dxfId="3"/>
    </tableStyle>
  </tableStyles>
  <colors>
    <mruColors>
      <color rgb="FFFFFF66"/>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[Victim_Tracking_System.xlsm]Pivot_table!PivotTable2</c:name>
    <c:fmtId val="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District wise case </a:t>
            </a:r>
          </a:p>
        </c:rich>
      </c:tx>
      <c:layout>
        <c:manualLayout>
          <c:xMode val="edge"/>
          <c:yMode val="edge"/>
          <c:x val="0.35551102820596919"/>
          <c:y val="9.4784320935820773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Pivot_table!$B$3</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Pivot_table!$A$4:$A$11</c:f>
              <c:strCache>
                <c:ptCount val="7"/>
                <c:pt idx="0">
                  <c:v>Amravati</c:v>
                </c:pt>
                <c:pt idx="1">
                  <c:v>Kolhapur</c:v>
                </c:pt>
                <c:pt idx="2">
                  <c:v>Mumbai</c:v>
                </c:pt>
                <c:pt idx="3">
                  <c:v>Nagpur</c:v>
                </c:pt>
                <c:pt idx="4">
                  <c:v>Nashik</c:v>
                </c:pt>
                <c:pt idx="5">
                  <c:v>Pune</c:v>
                </c:pt>
                <c:pt idx="6">
                  <c:v>(blank)</c:v>
                </c:pt>
              </c:strCache>
            </c:strRef>
          </c:cat>
          <c:val>
            <c:numRef>
              <c:f>Pivot_table!$B$4:$B$11</c:f>
              <c:numCache>
                <c:formatCode>General</c:formatCode>
                <c:ptCount val="7"/>
                <c:pt idx="0">
                  <c:v>27</c:v>
                </c:pt>
                <c:pt idx="1">
                  <c:v>18</c:v>
                </c:pt>
                <c:pt idx="2">
                  <c:v>13</c:v>
                </c:pt>
                <c:pt idx="3">
                  <c:v>21</c:v>
                </c:pt>
                <c:pt idx="4">
                  <c:v>22</c:v>
                </c:pt>
                <c:pt idx="5">
                  <c:v>19</c:v>
                </c:pt>
              </c:numCache>
            </c:numRef>
          </c:val>
          <c:extLst>
            <c:ext xmlns:c16="http://schemas.microsoft.com/office/drawing/2014/chart" uri="{C3380CC4-5D6E-409C-BE32-E72D297353CC}">
              <c16:uniqueId val="{00000000-DE86-4B7B-BC78-FE7E39ECAD32}"/>
            </c:ext>
          </c:extLst>
        </c:ser>
        <c:dLbls>
          <c:dLblPos val="outEnd"/>
          <c:showLegendKey val="0"/>
          <c:showVal val="1"/>
          <c:showCatName val="0"/>
          <c:showSerName val="0"/>
          <c:showPercent val="0"/>
          <c:showBubbleSize val="0"/>
        </c:dLbls>
        <c:gapWidth val="100"/>
        <c:overlap val="-24"/>
        <c:axId val="1981029056"/>
        <c:axId val="1981034336"/>
      </c:barChart>
      <c:catAx>
        <c:axId val="198102905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81034336"/>
        <c:crosses val="autoZero"/>
        <c:auto val="1"/>
        <c:lblAlgn val="ctr"/>
        <c:lblOffset val="100"/>
        <c:noMultiLvlLbl val="0"/>
      </c:catAx>
      <c:valAx>
        <c:axId val="198103433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810290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[Victim_Tracking_System.xlsm]Pivot_table!PivotTable4</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Case Status Overview</a:t>
            </a:r>
          </a:p>
        </c:rich>
      </c:tx>
      <c:layout>
        <c:manualLayout>
          <c:xMode val="edge"/>
          <c:yMode val="edge"/>
          <c:x val="0.3058828236132195"/>
          <c:y val="3.6605707067709062E-2"/>
        </c:manualLayout>
      </c:layout>
      <c:overlay val="1"/>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rgbClr val="00B05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rgbClr val="FFFF66"/>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
        <c:spPr>
          <a:solidFill>
            <a:schemeClr val="accent3"/>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doughnutChart>
        <c:varyColors val="1"/>
        <c:ser>
          <c:idx val="0"/>
          <c:order val="0"/>
          <c:tx>
            <c:strRef>
              <c:f>Pivot_table!$F$4</c:f>
              <c:strCache>
                <c:ptCount val="1"/>
                <c:pt idx="0">
                  <c:v>Total</c:v>
                </c:pt>
              </c:strCache>
            </c:strRef>
          </c:tx>
          <c:spPr>
            <a:solidFill>
              <a:srgbClr val="00B050"/>
            </a:solidFill>
          </c:spPr>
          <c:dPt>
            <c:idx val="0"/>
            <c:bubble3D val="0"/>
            <c:spPr>
              <a:solidFill>
                <a:srgbClr val="FFFF66"/>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B623-495C-90BD-F76F010FA9B2}"/>
              </c:ext>
            </c:extLst>
          </c:dPt>
          <c:dPt>
            <c:idx val="1"/>
            <c:bubble3D val="0"/>
            <c:spPr>
              <a:solidFill>
                <a:schemeClr val="accent3"/>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B623-495C-90BD-F76F010FA9B2}"/>
              </c:ext>
            </c:extLst>
          </c:dPt>
          <c:dLbls>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Pivot_table!$E$5:$E$7</c:f>
              <c:strCache>
                <c:ptCount val="2"/>
                <c:pt idx="0">
                  <c:v>Approved</c:v>
                </c:pt>
                <c:pt idx="1">
                  <c:v>Pending</c:v>
                </c:pt>
              </c:strCache>
            </c:strRef>
          </c:cat>
          <c:val>
            <c:numRef>
              <c:f>Pivot_table!$F$5:$F$7</c:f>
              <c:numCache>
                <c:formatCode>General</c:formatCode>
                <c:ptCount val="2"/>
                <c:pt idx="0">
                  <c:v>64</c:v>
                </c:pt>
                <c:pt idx="1">
                  <c:v>56</c:v>
                </c:pt>
              </c:numCache>
            </c:numRef>
          </c:val>
          <c:extLst>
            <c:ext xmlns:c16="http://schemas.microsoft.com/office/drawing/2014/chart" uri="{C3380CC4-5D6E-409C-BE32-E72D297353CC}">
              <c16:uniqueId val="{00000004-B623-495C-90BD-F76F010FA9B2}"/>
            </c:ext>
          </c:extLst>
        </c:ser>
        <c:dLbls>
          <c:showLegendKey val="0"/>
          <c:showVal val="0"/>
          <c:showCatName val="0"/>
          <c:showSerName val="0"/>
          <c:showPercent val="0"/>
          <c:showBubbleSize val="0"/>
          <c:showLeaderLines val="0"/>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[Victim_Tracking_System.xlsm]Pivot_table!PivotTable5</c:name>
    <c:fmtId val="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1600" b="1" i="0" u="none" strike="noStrike" baseline="0">
                <a:effectLst>
                  <a:outerShdw blurRad="50800" dist="38100" dir="5400000" algn="t" rotWithShape="0">
                    <a:prstClr val="black">
                      <a:alpha val="40000"/>
                    </a:prstClr>
                  </a:outerShdw>
                </a:effectLst>
              </a:rPr>
              <a:t>Compensation vs Paid Amount</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3"/>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tx2">
              <a:lumMod val="60000"/>
              <a:lumOff val="40000"/>
            </a:schemeClr>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Pivot_table!$H$4</c:f>
              <c:strCache>
                <c:ptCount val="1"/>
                <c:pt idx="0">
                  <c:v>Sum of Compensation_Amount</c:v>
                </c:pt>
              </c:strCache>
            </c:strRef>
          </c:tx>
          <c:spPr>
            <a:solidFill>
              <a:schemeClr val="accent3"/>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errBars>
            <c:errBarType val="both"/>
            <c:errValType val="stdErr"/>
            <c:noEndCap val="0"/>
            <c:spPr>
              <a:noFill/>
              <a:ln w="9525" cap="flat" cmpd="sng" algn="ctr">
                <a:solidFill>
                  <a:schemeClr val="lt1">
                    <a:lumMod val="95000"/>
                  </a:schemeClr>
                </a:solidFill>
                <a:round/>
              </a:ln>
              <a:effectLst/>
            </c:spPr>
          </c:errBars>
          <c:cat>
            <c:strRef>
              <c:f>Pivot_table!$G$5:$G$11</c:f>
              <c:strCache>
                <c:ptCount val="6"/>
                <c:pt idx="0">
                  <c:v>Amravati</c:v>
                </c:pt>
                <c:pt idx="1">
                  <c:v>Kolhapur</c:v>
                </c:pt>
                <c:pt idx="2">
                  <c:v>Mumbai</c:v>
                </c:pt>
                <c:pt idx="3">
                  <c:v>Nagpur</c:v>
                </c:pt>
                <c:pt idx="4">
                  <c:v>Nashik</c:v>
                </c:pt>
                <c:pt idx="5">
                  <c:v>Pune</c:v>
                </c:pt>
              </c:strCache>
            </c:strRef>
          </c:cat>
          <c:val>
            <c:numRef>
              <c:f>Pivot_table!$H$5:$H$11</c:f>
              <c:numCache>
                <c:formatCode>General</c:formatCode>
                <c:ptCount val="6"/>
                <c:pt idx="0">
                  <c:v>3425000</c:v>
                </c:pt>
                <c:pt idx="1">
                  <c:v>3000000</c:v>
                </c:pt>
                <c:pt idx="2">
                  <c:v>1800000</c:v>
                </c:pt>
                <c:pt idx="3">
                  <c:v>3225000</c:v>
                </c:pt>
                <c:pt idx="4">
                  <c:v>3025000</c:v>
                </c:pt>
                <c:pt idx="5">
                  <c:v>2550000</c:v>
                </c:pt>
              </c:numCache>
            </c:numRef>
          </c:val>
          <c:extLst>
            <c:ext xmlns:c16="http://schemas.microsoft.com/office/drawing/2014/chart" uri="{C3380CC4-5D6E-409C-BE32-E72D297353CC}">
              <c16:uniqueId val="{00000000-2002-4800-929D-4683B665E10A}"/>
            </c:ext>
          </c:extLst>
        </c:ser>
        <c:ser>
          <c:idx val="1"/>
          <c:order val="1"/>
          <c:tx>
            <c:strRef>
              <c:f>Pivot_table!$I$4</c:f>
              <c:strCache>
                <c:ptCount val="1"/>
                <c:pt idx="0">
                  <c:v>Sum of Paid_Amount</c:v>
                </c:pt>
              </c:strCache>
            </c:strRef>
          </c:tx>
          <c:spPr>
            <a:solidFill>
              <a:schemeClr val="tx2">
                <a:lumMod val="60000"/>
                <a:lumOff val="40000"/>
              </a:schemeClr>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errBars>
            <c:errBarType val="both"/>
            <c:errValType val="stdErr"/>
            <c:noEndCap val="0"/>
            <c:spPr>
              <a:noFill/>
              <a:ln w="9525" cap="flat" cmpd="sng" algn="ctr">
                <a:solidFill>
                  <a:schemeClr val="lt1">
                    <a:lumMod val="95000"/>
                  </a:schemeClr>
                </a:solidFill>
                <a:round/>
              </a:ln>
              <a:effectLst/>
            </c:spPr>
          </c:errBars>
          <c:cat>
            <c:strRef>
              <c:f>Pivot_table!$G$5:$G$11</c:f>
              <c:strCache>
                <c:ptCount val="6"/>
                <c:pt idx="0">
                  <c:v>Amravati</c:v>
                </c:pt>
                <c:pt idx="1">
                  <c:v>Kolhapur</c:v>
                </c:pt>
                <c:pt idx="2">
                  <c:v>Mumbai</c:v>
                </c:pt>
                <c:pt idx="3">
                  <c:v>Nagpur</c:v>
                </c:pt>
                <c:pt idx="4">
                  <c:v>Nashik</c:v>
                </c:pt>
                <c:pt idx="5">
                  <c:v>Pune</c:v>
                </c:pt>
              </c:strCache>
            </c:strRef>
          </c:cat>
          <c:val>
            <c:numRef>
              <c:f>Pivot_table!$I$5:$I$11</c:f>
              <c:numCache>
                <c:formatCode>General</c:formatCode>
                <c:ptCount val="6"/>
                <c:pt idx="0">
                  <c:v>2647668</c:v>
                </c:pt>
                <c:pt idx="1">
                  <c:v>2463304</c:v>
                </c:pt>
                <c:pt idx="2">
                  <c:v>1092230</c:v>
                </c:pt>
                <c:pt idx="3">
                  <c:v>2366896</c:v>
                </c:pt>
                <c:pt idx="4">
                  <c:v>2052618</c:v>
                </c:pt>
                <c:pt idx="5">
                  <c:v>1756015</c:v>
                </c:pt>
              </c:numCache>
            </c:numRef>
          </c:val>
          <c:extLst>
            <c:ext xmlns:c16="http://schemas.microsoft.com/office/drawing/2014/chart" uri="{C3380CC4-5D6E-409C-BE32-E72D297353CC}">
              <c16:uniqueId val="{00000001-2002-4800-929D-4683B665E10A}"/>
            </c:ext>
          </c:extLst>
        </c:ser>
        <c:dLbls>
          <c:dLblPos val="ctr"/>
          <c:showLegendKey val="0"/>
          <c:showVal val="1"/>
          <c:showCatName val="0"/>
          <c:showSerName val="0"/>
          <c:showPercent val="0"/>
          <c:showBubbleSize val="0"/>
        </c:dLbls>
        <c:gapWidth val="150"/>
        <c:overlap val="100"/>
        <c:axId val="2043844816"/>
        <c:axId val="2043845296"/>
      </c:barChart>
      <c:catAx>
        <c:axId val="2043844816"/>
        <c:scaling>
          <c:orientation val="minMax"/>
        </c:scaling>
        <c:delete val="0"/>
        <c:axPos val="b"/>
        <c:title>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43845296"/>
        <c:crosses val="autoZero"/>
        <c:auto val="1"/>
        <c:lblAlgn val="ctr"/>
        <c:lblOffset val="100"/>
        <c:noMultiLvlLbl val="0"/>
      </c:catAx>
      <c:valAx>
        <c:axId val="2043845296"/>
        <c:scaling>
          <c:orientation val="minMax"/>
        </c:scaling>
        <c:delete val="0"/>
        <c:axPos val="l"/>
        <c:majorGridlines>
          <c:spPr>
            <a:ln w="9525" cap="flat" cmpd="sng" algn="ctr">
              <a:solidFill>
                <a:schemeClr val="lt1">
                  <a:lumMod val="95000"/>
                  <a:alpha val="10000"/>
                </a:schemeClr>
              </a:solidFill>
              <a:round/>
            </a:ln>
            <a:effectLst/>
          </c:spPr>
        </c:majorGridlines>
        <c:title>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438448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[Victim_Tracking_System.xlsm]Pivot_table!PivotTable7</c:name>
    <c:fmtId val="8"/>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High Risk Alert Cases</a:t>
            </a:r>
          </a:p>
        </c:rich>
      </c:tx>
      <c:layout>
        <c:manualLayout>
          <c:xMode val="edge"/>
          <c:yMode val="edge"/>
          <c:x val="0.32538175549083781"/>
          <c:y val="7.4501294566221163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doughnutChart>
        <c:varyColors val="1"/>
        <c:ser>
          <c:idx val="0"/>
          <c:order val="0"/>
          <c:tx>
            <c:strRef>
              <c:f>Pivot_table!$B$13</c:f>
              <c:strCache>
                <c:ptCount val="1"/>
                <c:pt idx="0">
                  <c:v>Total</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2470-42FD-84BB-09B3B314BEE5}"/>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2470-42FD-84BB-09B3B314BEE5}"/>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2470-42FD-84BB-09B3B314BEE5}"/>
              </c:ext>
            </c:extLst>
          </c:dPt>
          <c:dLbls>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Pivot_table!$A$14:$A$17</c:f>
              <c:strCache>
                <c:ptCount val="3"/>
                <c:pt idx="0">
                  <c:v>High</c:v>
                </c:pt>
                <c:pt idx="1">
                  <c:v>Low</c:v>
                </c:pt>
                <c:pt idx="2">
                  <c:v>Medium</c:v>
                </c:pt>
              </c:strCache>
            </c:strRef>
          </c:cat>
          <c:val>
            <c:numRef>
              <c:f>Pivot_table!$B$14:$B$17</c:f>
              <c:numCache>
                <c:formatCode>General</c:formatCode>
                <c:ptCount val="3"/>
                <c:pt idx="0">
                  <c:v>66</c:v>
                </c:pt>
                <c:pt idx="1">
                  <c:v>35</c:v>
                </c:pt>
                <c:pt idx="2">
                  <c:v>19</c:v>
                </c:pt>
              </c:numCache>
            </c:numRef>
          </c:val>
          <c:extLst>
            <c:ext xmlns:c16="http://schemas.microsoft.com/office/drawing/2014/chart" uri="{C3380CC4-5D6E-409C-BE32-E72D297353CC}">
              <c16:uniqueId val="{00000006-2470-42FD-84BB-09B3B314BEE5}"/>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[Victim_Tracking_System.xlsm]Pivot_table!PivotTable8</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Delay</a:t>
            </a:r>
            <a:r>
              <a:rPr lang="en-US" baseline="0"/>
              <a:t> Insights</a:t>
            </a:r>
          </a:p>
          <a:p>
            <a:pPr>
              <a:defRPr/>
            </a:pP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00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
        <c:spPr>
          <a:solidFill>
            <a:srgbClr val="FFFF66"/>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manualLayout>
          <c:layoutTarget val="inner"/>
          <c:xMode val="edge"/>
          <c:yMode val="edge"/>
          <c:x val="0.16427885113822874"/>
          <c:y val="0.18659105932413278"/>
          <c:w val="0.64141682624671581"/>
          <c:h val="0.65156134004899224"/>
        </c:manualLayout>
      </c:layout>
      <c:barChart>
        <c:barDir val="bar"/>
        <c:grouping val="clustered"/>
        <c:varyColors val="0"/>
        <c:ser>
          <c:idx val="0"/>
          <c:order val="0"/>
          <c:tx>
            <c:strRef>
              <c:f>Pivot_table!$D$13</c:f>
              <c:strCache>
                <c:ptCount val="1"/>
                <c:pt idx="0">
                  <c:v>Total</c:v>
                </c:pt>
              </c:strCache>
            </c:strRef>
          </c:tx>
          <c:spPr>
            <a:solidFill>
              <a:srgbClr val="FF00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0"/>
            <c:invertIfNegative val="0"/>
            <c:bubble3D val="0"/>
            <c:spPr>
              <a:solidFill>
                <a:srgbClr val="FFFF66"/>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F4B2-4440-BE9E-02F179B362B8}"/>
              </c:ext>
            </c:extLst>
          </c:dPt>
          <c:dPt>
            <c:idx val="2"/>
            <c:invertIfNegative val="0"/>
            <c:bubble3D val="0"/>
            <c:spPr>
              <a:solidFill>
                <a:schemeClr val="accent3"/>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0-F4B2-4440-BE9E-02F179B362B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Pivot_table!$C$14:$C$17</c:f>
              <c:strCache>
                <c:ptCount val="3"/>
                <c:pt idx="0">
                  <c:v>Delay</c:v>
                </c:pt>
                <c:pt idx="1">
                  <c:v>High Delay</c:v>
                </c:pt>
                <c:pt idx="2">
                  <c:v>On Time</c:v>
                </c:pt>
              </c:strCache>
            </c:strRef>
          </c:cat>
          <c:val>
            <c:numRef>
              <c:f>Pivot_table!$D$14:$D$17</c:f>
              <c:numCache>
                <c:formatCode>General</c:formatCode>
                <c:ptCount val="3"/>
                <c:pt idx="0">
                  <c:v>2</c:v>
                </c:pt>
                <c:pt idx="1">
                  <c:v>83</c:v>
                </c:pt>
                <c:pt idx="2">
                  <c:v>35</c:v>
                </c:pt>
              </c:numCache>
            </c:numRef>
          </c:val>
          <c:extLst>
            <c:ext xmlns:c16="http://schemas.microsoft.com/office/drawing/2014/chart" uri="{C3380CC4-5D6E-409C-BE32-E72D297353CC}">
              <c16:uniqueId val="{00000000-3BE6-4A7B-A0E7-37DDD42E70E4}"/>
            </c:ext>
          </c:extLst>
        </c:ser>
        <c:dLbls>
          <c:dLblPos val="outEnd"/>
          <c:showLegendKey val="0"/>
          <c:showVal val="1"/>
          <c:showCatName val="0"/>
          <c:showSerName val="0"/>
          <c:showPercent val="0"/>
          <c:showBubbleSize val="0"/>
        </c:dLbls>
        <c:gapWidth val="115"/>
        <c:overlap val="-20"/>
        <c:axId val="671049552"/>
        <c:axId val="671061072"/>
      </c:barChart>
      <c:catAx>
        <c:axId val="671049552"/>
        <c:scaling>
          <c:orientation val="minMax"/>
        </c:scaling>
        <c:delete val="0"/>
        <c:axPos val="l"/>
        <c:title>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71061072"/>
        <c:crosses val="autoZero"/>
        <c:auto val="1"/>
        <c:lblAlgn val="ctr"/>
        <c:lblOffset val="100"/>
        <c:noMultiLvlLbl val="0"/>
      </c:catAx>
      <c:valAx>
        <c:axId val="671061072"/>
        <c:scaling>
          <c:orientation val="minMax"/>
        </c:scaling>
        <c:delete val="0"/>
        <c:axPos val="b"/>
        <c:majorGridlines>
          <c:spPr>
            <a:ln w="9525" cap="flat" cmpd="sng" algn="ctr">
              <a:solidFill>
                <a:schemeClr val="lt1">
                  <a:lumMod val="95000"/>
                  <a:alpha val="10000"/>
                </a:schemeClr>
              </a:solidFill>
              <a:round/>
            </a:ln>
            <a:effectLst/>
          </c:spPr>
        </c:majorGridlines>
        <c:title>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710495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1155700</xdr:colOff>
          <xdr:row>122</xdr:row>
          <xdr:rowOff>76200</xdr:rowOff>
        </xdr:from>
        <xdr:to>
          <xdr:col>7</xdr:col>
          <xdr:colOff>635000</xdr:colOff>
          <xdr:row>127</xdr:row>
          <xdr:rowOff>50800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400" b="0" i="0" u="none" strike="noStrike" baseline="0">
                  <a:solidFill>
                    <a:srgbClr val="000000"/>
                  </a:solidFill>
                  <a:latin typeface="Calibri"/>
                  <a:cs typeface="Calibri"/>
                </a:rPr>
                <a:t>update tracking system</a:t>
              </a:r>
              <a:endParaRPr lang="en-IN" sz="1100" b="0" i="0" u="none" strike="noStrike" baseline="0">
                <a:solidFill>
                  <a:srgbClr val="000000"/>
                </a:solidFill>
                <a:latin typeface="Calibri"/>
                <a:cs typeface="Calibri"/>
              </a:endParaRPr>
            </a:p>
            <a:p>
              <a:pPr algn="ctr" rtl="0">
                <a:defRPr sz="1000"/>
              </a:pPr>
              <a:endParaRPr lang="en-IN"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590550</xdr:colOff>
          <xdr:row>4</xdr:row>
          <xdr:rowOff>260350</xdr:rowOff>
        </xdr:from>
        <xdr:to>
          <xdr:col>10</xdr:col>
          <xdr:colOff>0</xdr:colOff>
          <xdr:row>7</xdr:row>
          <xdr:rowOff>57150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200" b="1" i="0" u="none" strike="noStrike" baseline="0">
                  <a:solidFill>
                    <a:srgbClr val="00CCFF"/>
                  </a:solidFill>
                  <a:latin typeface="Calibri"/>
                  <a:cs typeface="Calibri"/>
                </a:rPr>
                <a:t>Get Answer</a:t>
              </a:r>
            </a:p>
            <a:p>
              <a:pPr algn="ctr" rtl="0">
                <a:defRPr sz="1000"/>
              </a:pPr>
              <a:endParaRPr lang="en-IN" sz="1200" b="1" i="0" u="none" strike="noStrike" baseline="0">
                <a:solidFill>
                  <a:srgbClr val="00CCFF"/>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16</xdr:col>
      <xdr:colOff>84667</xdr:colOff>
      <xdr:row>15</xdr:row>
      <xdr:rowOff>135467</xdr:rowOff>
    </xdr:from>
    <xdr:to>
      <xdr:col>21</xdr:col>
      <xdr:colOff>273050</xdr:colOff>
      <xdr:row>29</xdr:row>
      <xdr:rowOff>140759</xdr:rowOff>
    </xdr:to>
    <mc:AlternateContent xmlns:mc="http://schemas.openxmlformats.org/markup-compatibility/2006">
      <mc:Choice xmlns:a14="http://schemas.microsoft.com/office/drawing/2010/main" Requires="a14">
        <xdr:graphicFrame macro="">
          <xdr:nvGraphicFramePr>
            <xdr:cNvPr id="10" name="Application_Date">
              <a:extLst>
                <a:ext uri="{FF2B5EF4-FFF2-40B4-BE49-F238E27FC236}">
                  <a16:creationId xmlns:a16="http://schemas.microsoft.com/office/drawing/2014/main" id="{C287B932-27A9-7618-615E-796F860628CF}"/>
                </a:ext>
              </a:extLst>
            </xdr:cNvPr>
            <xdr:cNvGraphicFramePr/>
          </xdr:nvGraphicFramePr>
          <xdr:xfrm>
            <a:off x="0" y="0"/>
            <a:ext cx="0" cy="0"/>
          </xdr:xfrm>
          <a:graphic>
            <a:graphicData uri="http://schemas.microsoft.com/office/drawing/2010/slicer">
              <sle:slicer xmlns:sle="http://schemas.microsoft.com/office/drawing/2010/slicer" name="Application_Date"/>
            </a:graphicData>
          </a:graphic>
        </xdr:graphicFrame>
      </mc:Choice>
      <mc:Fallback>
        <xdr:sp macro="" textlink="">
          <xdr:nvSpPr>
            <xdr:cNvPr id="0" name=""/>
            <xdr:cNvSpPr>
              <a:spLocks noTextEdit="1"/>
            </xdr:cNvSpPr>
          </xdr:nvSpPr>
          <xdr:spPr>
            <a:xfrm>
              <a:off x="12079111" y="2840097"/>
              <a:ext cx="1834680" cy="252961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222249</xdr:colOff>
      <xdr:row>0</xdr:row>
      <xdr:rowOff>82550</xdr:rowOff>
    </xdr:from>
    <xdr:to>
      <xdr:col>18</xdr:col>
      <xdr:colOff>82549</xdr:colOff>
      <xdr:row>14</xdr:row>
      <xdr:rowOff>87842</xdr:rowOff>
    </xdr:to>
    <mc:AlternateContent xmlns:mc="http://schemas.openxmlformats.org/markup-compatibility/2006" xmlns:a14="http://schemas.microsoft.com/office/drawing/2010/main">
      <mc:Choice Requires="a14">
        <xdr:graphicFrame macro="">
          <xdr:nvGraphicFramePr>
            <xdr:cNvPr id="11" name="District">
              <a:extLst>
                <a:ext uri="{FF2B5EF4-FFF2-40B4-BE49-F238E27FC236}">
                  <a16:creationId xmlns:a16="http://schemas.microsoft.com/office/drawing/2014/main" id="{12551C48-79A7-57AC-A056-F5B38BEC8705}"/>
                </a:ext>
              </a:extLst>
            </xdr:cNvPr>
            <xdr:cNvGraphicFramePr/>
          </xdr:nvGraphicFramePr>
          <xdr:xfrm>
            <a:off x="0" y="0"/>
            <a:ext cx="0" cy="0"/>
          </xdr:xfrm>
          <a:graphic>
            <a:graphicData uri="http://schemas.microsoft.com/office/drawing/2010/slicer">
              <sle:slicer xmlns:sle="http://schemas.microsoft.com/office/drawing/2010/slicer" name="District"/>
            </a:graphicData>
          </a:graphic>
        </xdr:graphicFrame>
      </mc:Choice>
      <mc:Fallback xmlns="">
        <xdr:sp macro="" textlink="">
          <xdr:nvSpPr>
            <xdr:cNvPr id="0" name=""/>
            <xdr:cNvSpPr>
              <a:spLocks noTextEdit="1"/>
            </xdr:cNvSpPr>
          </xdr:nvSpPr>
          <xdr:spPr>
            <a:xfrm>
              <a:off x="10847916" y="825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137583</xdr:colOff>
      <xdr:row>0</xdr:row>
      <xdr:rowOff>167217</xdr:rowOff>
    </xdr:from>
    <xdr:to>
      <xdr:col>24</xdr:col>
      <xdr:colOff>325966</xdr:colOff>
      <xdr:row>14</xdr:row>
      <xdr:rowOff>172509</xdr:rowOff>
    </xdr:to>
    <mc:AlternateContent xmlns:mc="http://schemas.openxmlformats.org/markup-compatibility/2006" xmlns:a14="http://schemas.microsoft.com/office/drawing/2010/main">
      <mc:Choice Requires="a14">
        <xdr:graphicFrame macro="">
          <xdr:nvGraphicFramePr>
            <xdr:cNvPr id="12" name="Approval_Status">
              <a:extLst>
                <a:ext uri="{FF2B5EF4-FFF2-40B4-BE49-F238E27FC236}">
                  <a16:creationId xmlns:a16="http://schemas.microsoft.com/office/drawing/2014/main" id="{49978876-8264-A917-AEDF-60E1C5C4944B}"/>
                </a:ext>
              </a:extLst>
            </xdr:cNvPr>
            <xdr:cNvGraphicFramePr/>
          </xdr:nvGraphicFramePr>
          <xdr:xfrm>
            <a:off x="0" y="0"/>
            <a:ext cx="0" cy="0"/>
          </xdr:xfrm>
          <a:graphic>
            <a:graphicData uri="http://schemas.microsoft.com/office/drawing/2010/slicer">
              <sle:slicer xmlns:sle="http://schemas.microsoft.com/office/drawing/2010/slicer" name="Approval_Status"/>
            </a:graphicData>
          </a:graphic>
        </xdr:graphicFrame>
      </mc:Choice>
      <mc:Fallback xmlns="">
        <xdr:sp macro="" textlink="">
          <xdr:nvSpPr>
            <xdr:cNvPr id="0" name=""/>
            <xdr:cNvSpPr>
              <a:spLocks noTextEdit="1"/>
            </xdr:cNvSpPr>
          </xdr:nvSpPr>
          <xdr:spPr>
            <a:xfrm>
              <a:off x="13059833" y="167217"/>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352424</xdr:colOff>
      <xdr:row>11</xdr:row>
      <xdr:rowOff>74143</xdr:rowOff>
    </xdr:from>
    <xdr:to>
      <xdr:col>8</xdr:col>
      <xdr:colOff>559391</xdr:colOff>
      <xdr:row>32</xdr:row>
      <xdr:rowOff>39366</xdr:rowOff>
    </xdr:to>
    <xdr:graphicFrame macro="">
      <xdr:nvGraphicFramePr>
        <xdr:cNvPr id="2" name="Chart 1">
          <a:extLst>
            <a:ext uri="{FF2B5EF4-FFF2-40B4-BE49-F238E27FC236}">
              <a16:creationId xmlns:a16="http://schemas.microsoft.com/office/drawing/2014/main" id="{243FBA01-08CA-48C6-90E9-8255C45FEB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337372</xdr:colOff>
      <xdr:row>11</xdr:row>
      <xdr:rowOff>74143</xdr:rowOff>
    </xdr:from>
    <xdr:to>
      <xdr:col>21</xdr:col>
      <xdr:colOff>269460</xdr:colOff>
      <xdr:row>32</xdr:row>
      <xdr:rowOff>63529</xdr:rowOff>
    </xdr:to>
    <xdr:graphicFrame macro="">
      <xdr:nvGraphicFramePr>
        <xdr:cNvPr id="3" name="Chart 2">
          <a:extLst>
            <a:ext uri="{FF2B5EF4-FFF2-40B4-BE49-F238E27FC236}">
              <a16:creationId xmlns:a16="http://schemas.microsoft.com/office/drawing/2014/main" id="{8FA1F72E-C57F-4093-932E-BCEA18AC3D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377417</xdr:colOff>
      <xdr:row>36</xdr:row>
      <xdr:rowOff>113832</xdr:rowOff>
    </xdr:from>
    <xdr:to>
      <xdr:col>15</xdr:col>
      <xdr:colOff>281220</xdr:colOff>
      <xdr:row>69</xdr:row>
      <xdr:rowOff>44095</xdr:rowOff>
    </xdr:to>
    <xdr:graphicFrame macro="">
      <xdr:nvGraphicFramePr>
        <xdr:cNvPr id="4" name="Chart 3">
          <a:extLst>
            <a:ext uri="{FF2B5EF4-FFF2-40B4-BE49-F238E27FC236}">
              <a16:creationId xmlns:a16="http://schemas.microsoft.com/office/drawing/2014/main" id="{39E3C457-749E-4707-B584-A4F22D06D4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291856</xdr:colOff>
      <xdr:row>11</xdr:row>
      <xdr:rowOff>74143</xdr:rowOff>
    </xdr:from>
    <xdr:to>
      <xdr:col>33</xdr:col>
      <xdr:colOff>362412</xdr:colOff>
      <xdr:row>32</xdr:row>
      <xdr:rowOff>59375</xdr:rowOff>
    </xdr:to>
    <xdr:graphicFrame macro="">
      <xdr:nvGraphicFramePr>
        <xdr:cNvPr id="5" name="Chart 4">
          <a:extLst>
            <a:ext uri="{FF2B5EF4-FFF2-40B4-BE49-F238E27FC236}">
              <a16:creationId xmlns:a16="http://schemas.microsoft.com/office/drawing/2014/main" id="{E0D7D152-BCBC-4315-9CBA-1447AD26B9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13092</xdr:colOff>
      <xdr:row>3</xdr:row>
      <xdr:rowOff>124383</xdr:rowOff>
    </xdr:from>
    <xdr:to>
      <xdr:col>3</xdr:col>
      <xdr:colOff>591949</xdr:colOff>
      <xdr:row>9</xdr:row>
      <xdr:rowOff>75339</xdr:rowOff>
    </xdr:to>
    <xdr:sp macro="" textlink="">
      <xdr:nvSpPr>
        <xdr:cNvPr id="6" name="Rectangle: Rounded Corners 5">
          <a:extLst>
            <a:ext uri="{FF2B5EF4-FFF2-40B4-BE49-F238E27FC236}">
              <a16:creationId xmlns:a16="http://schemas.microsoft.com/office/drawing/2014/main" id="{32596253-8D03-A4AD-CF0F-1FDDE7E7AF8D}"/>
            </a:ext>
          </a:extLst>
        </xdr:cNvPr>
        <xdr:cNvSpPr/>
      </xdr:nvSpPr>
      <xdr:spPr>
        <a:xfrm>
          <a:off x="626567" y="888536"/>
          <a:ext cx="2365467" cy="1102566"/>
        </a:xfrm>
        <a:prstGeom prst="roundRect">
          <a:avLst/>
        </a:prstGeom>
        <a:effectLst>
          <a:outerShdw dist="38100" sx="101000" sy="101000" algn="bl" rotWithShape="0">
            <a:prstClr val="black">
              <a:alpha val="68000"/>
            </a:prstClr>
          </a:outerShdw>
          <a:reflection endPos="0" dist="50800" dir="5400000" sy="-100000" algn="bl" rotWithShape="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98196</xdr:colOff>
      <xdr:row>3</xdr:row>
      <xdr:rowOff>172203</xdr:rowOff>
    </xdr:from>
    <xdr:to>
      <xdr:col>3</xdr:col>
      <xdr:colOff>430507</xdr:colOff>
      <xdr:row>6</xdr:row>
      <xdr:rowOff>172204</xdr:rowOff>
    </xdr:to>
    <xdr:sp macro="" textlink="">
      <xdr:nvSpPr>
        <xdr:cNvPr id="7" name="TextBox 6">
          <a:extLst>
            <a:ext uri="{FF2B5EF4-FFF2-40B4-BE49-F238E27FC236}">
              <a16:creationId xmlns:a16="http://schemas.microsoft.com/office/drawing/2014/main" id="{B182DBCA-5EEF-B96B-922E-0E3B7BB9A5D8}"/>
            </a:ext>
          </a:extLst>
        </xdr:cNvPr>
        <xdr:cNvSpPr txBox="1"/>
      </xdr:nvSpPr>
      <xdr:spPr>
        <a:xfrm>
          <a:off x="711671" y="936356"/>
          <a:ext cx="2118921" cy="602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a:t>Total Cases</a:t>
          </a:r>
        </a:p>
      </xdr:txBody>
    </xdr:sp>
    <xdr:clientData/>
  </xdr:twoCellAnchor>
  <xdr:twoCellAnchor>
    <xdr:from>
      <xdr:col>1</xdr:col>
      <xdr:colOff>445377</xdr:colOff>
      <xdr:row>5</xdr:row>
      <xdr:rowOff>170217</xdr:rowOff>
    </xdr:from>
    <xdr:to>
      <xdr:col>3</xdr:col>
      <xdr:colOff>50484</xdr:colOff>
      <xdr:row>9</xdr:row>
      <xdr:rowOff>65404</xdr:rowOff>
    </xdr:to>
    <xdr:sp macro="" textlink="Calculations!B2">
      <xdr:nvSpPr>
        <xdr:cNvPr id="8" name="TextBox 7">
          <a:extLst>
            <a:ext uri="{FF2B5EF4-FFF2-40B4-BE49-F238E27FC236}">
              <a16:creationId xmlns:a16="http://schemas.microsoft.com/office/drawing/2014/main" id="{90D30BF5-0F92-1FD9-01F5-108BE7C6C6C6}"/>
            </a:ext>
          </a:extLst>
        </xdr:cNvPr>
        <xdr:cNvSpPr txBox="1"/>
      </xdr:nvSpPr>
      <xdr:spPr>
        <a:xfrm>
          <a:off x="1058852" y="1354115"/>
          <a:ext cx="1391717" cy="627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718017A-6CB6-4814-A3B2-B0C4F6F394D9}" type="TxLink">
            <a:rPr lang="en-US" sz="3600" b="0" i="0" u="none" strike="noStrike">
              <a:solidFill>
                <a:srgbClr val="000000"/>
              </a:solidFill>
              <a:latin typeface="Calibri"/>
              <a:cs typeface="Calibri"/>
            </a:rPr>
            <a:pPr algn="ctr"/>
            <a:t>120</a:t>
          </a:fld>
          <a:endParaRPr lang="en-IN" sz="3600"/>
        </a:p>
      </xdr:txBody>
    </xdr:sp>
    <xdr:clientData/>
  </xdr:twoCellAnchor>
  <xdr:twoCellAnchor>
    <xdr:from>
      <xdr:col>4</xdr:col>
      <xdr:colOff>527333</xdr:colOff>
      <xdr:row>3</xdr:row>
      <xdr:rowOff>146538</xdr:rowOff>
    </xdr:from>
    <xdr:to>
      <xdr:col>7</xdr:col>
      <xdr:colOff>244727</xdr:colOff>
      <xdr:row>9</xdr:row>
      <xdr:rowOff>53813</xdr:rowOff>
    </xdr:to>
    <xdr:sp macro="" textlink="">
      <xdr:nvSpPr>
        <xdr:cNvPr id="9" name="Rectangle: Rounded Corners 8">
          <a:extLst>
            <a:ext uri="{FF2B5EF4-FFF2-40B4-BE49-F238E27FC236}">
              <a16:creationId xmlns:a16="http://schemas.microsoft.com/office/drawing/2014/main" id="{D0FDBD01-F25B-4378-8BF3-FB882512A643}"/>
            </a:ext>
          </a:extLst>
        </xdr:cNvPr>
        <xdr:cNvSpPr/>
      </xdr:nvSpPr>
      <xdr:spPr>
        <a:xfrm>
          <a:off x="3526487" y="913423"/>
          <a:ext cx="2164586" cy="1069813"/>
        </a:xfrm>
        <a:prstGeom prst="roundRect">
          <a:avLst/>
        </a:prstGeom>
        <a:solidFill>
          <a:schemeClr val="accent3"/>
        </a:solidFill>
        <a:effectLst>
          <a:outerShdw dist="38100" sx="102000" sy="102000" algn="ctr" rotWithShape="0">
            <a:srgbClr val="000000">
              <a:alpha val="68000"/>
            </a:srgbClr>
          </a:outerShdw>
          <a:reflection endPos="0" dist="50800" dir="5400000" sy="-100000" algn="bl" rotWithShape="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198386</xdr:colOff>
      <xdr:row>3</xdr:row>
      <xdr:rowOff>127001</xdr:rowOff>
    </xdr:from>
    <xdr:to>
      <xdr:col>11</xdr:col>
      <xdr:colOff>376114</xdr:colOff>
      <xdr:row>9</xdr:row>
      <xdr:rowOff>39077</xdr:rowOff>
    </xdr:to>
    <xdr:sp macro="" textlink="">
      <xdr:nvSpPr>
        <xdr:cNvPr id="10" name="Rectangle: Rounded Corners 9">
          <a:extLst>
            <a:ext uri="{FF2B5EF4-FFF2-40B4-BE49-F238E27FC236}">
              <a16:creationId xmlns:a16="http://schemas.microsoft.com/office/drawing/2014/main" id="{8920C8DF-1DD2-48AC-8ABB-36FF2AB17D1F}"/>
            </a:ext>
          </a:extLst>
        </xdr:cNvPr>
        <xdr:cNvSpPr/>
      </xdr:nvSpPr>
      <xdr:spPr>
        <a:xfrm>
          <a:off x="6255309" y="893886"/>
          <a:ext cx="2009459" cy="1074614"/>
        </a:xfrm>
        <a:prstGeom prst="roundRect">
          <a:avLst/>
        </a:prstGeom>
        <a:solidFill>
          <a:srgbClr val="FFFF66"/>
        </a:solidFill>
        <a:effectLst>
          <a:outerShdw dist="50800" sx="101000" sy="101000" algn="ctr" rotWithShape="0">
            <a:srgbClr val="000000">
              <a:alpha val="6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344857</xdr:colOff>
      <xdr:row>3</xdr:row>
      <xdr:rowOff>161194</xdr:rowOff>
    </xdr:from>
    <xdr:to>
      <xdr:col>15</xdr:col>
      <xdr:colOff>595924</xdr:colOff>
      <xdr:row>9</xdr:row>
      <xdr:rowOff>9770</xdr:rowOff>
    </xdr:to>
    <xdr:sp macro="" textlink="">
      <xdr:nvSpPr>
        <xdr:cNvPr id="11" name="Rectangle: Rounded Corners 10">
          <a:extLst>
            <a:ext uri="{FF2B5EF4-FFF2-40B4-BE49-F238E27FC236}">
              <a16:creationId xmlns:a16="http://schemas.microsoft.com/office/drawing/2014/main" id="{F43C428C-AE42-409C-9D10-A2A8D29F4A4F}"/>
            </a:ext>
          </a:extLst>
        </xdr:cNvPr>
        <xdr:cNvSpPr/>
      </xdr:nvSpPr>
      <xdr:spPr>
        <a:xfrm>
          <a:off x="8844088" y="928079"/>
          <a:ext cx="2082798" cy="1011114"/>
        </a:xfrm>
        <a:prstGeom prst="roundRect">
          <a:avLst/>
        </a:prstGeom>
        <a:solidFill>
          <a:schemeClr val="accent6">
            <a:lumMod val="75000"/>
          </a:schemeClr>
        </a:solidFill>
        <a:effectLst>
          <a:outerShdw dist="50800" sx="101000" sy="101000" algn="ctr" rotWithShape="0">
            <a:srgbClr val="000000">
              <a:alpha val="6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572131</xdr:colOff>
      <xdr:row>3</xdr:row>
      <xdr:rowOff>227853</xdr:rowOff>
    </xdr:from>
    <xdr:to>
      <xdr:col>20</xdr:col>
      <xdr:colOff>164631</xdr:colOff>
      <xdr:row>9</xdr:row>
      <xdr:rowOff>32070</xdr:rowOff>
    </xdr:to>
    <xdr:sp macro="" textlink="">
      <xdr:nvSpPr>
        <xdr:cNvPr id="12" name="Rectangle: Rounded Corners 11">
          <a:extLst>
            <a:ext uri="{FF2B5EF4-FFF2-40B4-BE49-F238E27FC236}">
              <a16:creationId xmlns:a16="http://schemas.microsoft.com/office/drawing/2014/main" id="{6B41E955-D138-4178-BA37-1C0078843AFB}"/>
            </a:ext>
          </a:extLst>
        </xdr:cNvPr>
        <xdr:cNvSpPr/>
      </xdr:nvSpPr>
      <xdr:spPr>
        <a:xfrm>
          <a:off x="11523921" y="980446"/>
          <a:ext cx="2038426" cy="940945"/>
        </a:xfrm>
        <a:prstGeom prst="roundRect">
          <a:avLst/>
        </a:prstGeom>
        <a:solidFill>
          <a:srgbClr val="FF0000"/>
        </a:solidFill>
        <a:effectLst>
          <a:outerShdw dist="50800" sx="101000" sy="101000" algn="ctr" rotWithShape="0">
            <a:srgbClr val="000000">
              <a:alpha val="67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976855</xdr:colOff>
      <xdr:row>3</xdr:row>
      <xdr:rowOff>173092</xdr:rowOff>
    </xdr:from>
    <xdr:to>
      <xdr:col>6</xdr:col>
      <xdr:colOff>253978</xdr:colOff>
      <xdr:row>5</xdr:row>
      <xdr:rowOff>107628</xdr:rowOff>
    </xdr:to>
    <xdr:sp macro="" textlink="">
      <xdr:nvSpPr>
        <xdr:cNvPr id="13" name="TextBox 12">
          <a:extLst>
            <a:ext uri="{FF2B5EF4-FFF2-40B4-BE49-F238E27FC236}">
              <a16:creationId xmlns:a16="http://schemas.microsoft.com/office/drawing/2014/main" id="{27E6B036-E0BD-A202-DAEE-83188AC2F5FE}"/>
            </a:ext>
          </a:extLst>
        </xdr:cNvPr>
        <xdr:cNvSpPr txBox="1"/>
      </xdr:nvSpPr>
      <xdr:spPr>
        <a:xfrm>
          <a:off x="3990414" y="937245"/>
          <a:ext cx="1117547" cy="3542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a:t>Approved</a:t>
          </a:r>
        </a:p>
      </xdr:txBody>
    </xdr:sp>
    <xdr:clientData/>
  </xdr:twoCellAnchor>
  <xdr:twoCellAnchor>
    <xdr:from>
      <xdr:col>4</xdr:col>
      <xdr:colOff>767963</xdr:colOff>
      <xdr:row>6</xdr:row>
      <xdr:rowOff>67391</xdr:rowOff>
    </xdr:from>
    <xdr:to>
      <xdr:col>7</xdr:col>
      <xdr:colOff>102577</xdr:colOff>
      <xdr:row>10</xdr:row>
      <xdr:rowOff>38084</xdr:rowOff>
    </xdr:to>
    <xdr:sp macro="" textlink="Calculations!B9">
      <xdr:nvSpPr>
        <xdr:cNvPr id="14" name="TextBox 13">
          <a:extLst>
            <a:ext uri="{FF2B5EF4-FFF2-40B4-BE49-F238E27FC236}">
              <a16:creationId xmlns:a16="http://schemas.microsoft.com/office/drawing/2014/main" id="{3370460D-9459-1CB7-8E0F-C8E1FF5DC8A6}"/>
            </a:ext>
          </a:extLst>
        </xdr:cNvPr>
        <xdr:cNvSpPr txBox="1"/>
      </xdr:nvSpPr>
      <xdr:spPr>
        <a:xfrm>
          <a:off x="3767117" y="1439968"/>
          <a:ext cx="1781806" cy="7131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2CDC47B-60BD-41CE-88BC-8F35BB9DD941}" type="TxLink">
            <a:rPr lang="en-US" sz="2000" b="0" i="0" u="none" strike="noStrike">
              <a:solidFill>
                <a:srgbClr val="000000"/>
              </a:solidFill>
              <a:latin typeface="Calibri"/>
              <a:cs typeface="Calibri"/>
            </a:rPr>
            <a:pPr algn="ctr"/>
            <a:t>↑ 64 (53%)</a:t>
          </a:fld>
          <a:endParaRPr lang="en-IN" sz="2000"/>
        </a:p>
      </xdr:txBody>
    </xdr:sp>
    <xdr:clientData/>
  </xdr:twoCellAnchor>
  <xdr:twoCellAnchor>
    <xdr:from>
      <xdr:col>8</xdr:col>
      <xdr:colOff>359723</xdr:colOff>
      <xdr:row>6</xdr:row>
      <xdr:rowOff>67558</xdr:rowOff>
    </xdr:from>
    <xdr:to>
      <xdr:col>11</xdr:col>
      <xdr:colOff>32455</xdr:colOff>
      <xdr:row>10</xdr:row>
      <xdr:rowOff>18711</xdr:rowOff>
    </xdr:to>
    <xdr:sp macro="" textlink="Calculations!B10">
      <xdr:nvSpPr>
        <xdr:cNvPr id="15" name="TextBox 14">
          <a:extLst>
            <a:ext uri="{FF2B5EF4-FFF2-40B4-BE49-F238E27FC236}">
              <a16:creationId xmlns:a16="http://schemas.microsoft.com/office/drawing/2014/main" id="{6DD18759-BAAE-A849-DF4F-2BE4155689B6}"/>
            </a:ext>
          </a:extLst>
        </xdr:cNvPr>
        <xdr:cNvSpPr txBox="1"/>
      </xdr:nvSpPr>
      <xdr:spPr>
        <a:xfrm>
          <a:off x="6416646" y="1440135"/>
          <a:ext cx="1504463" cy="6936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5E46D40-FE89-40F9-AA58-53D9E98E27A8}" type="TxLink">
            <a:rPr lang="en-US" sz="2000" b="0" i="0" u="none" strike="noStrike">
              <a:solidFill>
                <a:srgbClr val="000000"/>
              </a:solidFill>
              <a:latin typeface="Calibri"/>
              <a:cs typeface="Calibri"/>
            </a:rPr>
            <a:pPr algn="ctr"/>
            <a:t>↓ 56 (47%)</a:t>
          </a:fld>
          <a:endParaRPr lang="en-IN" sz="2000"/>
        </a:p>
      </xdr:txBody>
    </xdr:sp>
    <xdr:clientData/>
  </xdr:twoCellAnchor>
  <xdr:twoCellAnchor>
    <xdr:from>
      <xdr:col>13</xdr:col>
      <xdr:colOff>67558</xdr:colOff>
      <xdr:row>6</xdr:row>
      <xdr:rowOff>75171</xdr:rowOff>
    </xdr:from>
    <xdr:to>
      <xdr:col>15</xdr:col>
      <xdr:colOff>350865</xdr:colOff>
      <xdr:row>11</xdr:row>
      <xdr:rowOff>114249</xdr:rowOff>
    </xdr:to>
    <xdr:sp macro="" textlink="Calculations!B11">
      <xdr:nvSpPr>
        <xdr:cNvPr id="16" name="TextBox 15">
          <a:extLst>
            <a:ext uri="{FF2B5EF4-FFF2-40B4-BE49-F238E27FC236}">
              <a16:creationId xmlns:a16="http://schemas.microsoft.com/office/drawing/2014/main" id="{51BAD327-8E35-19E4-F24A-936CBE45A85D}"/>
            </a:ext>
          </a:extLst>
        </xdr:cNvPr>
        <xdr:cNvSpPr txBox="1"/>
      </xdr:nvSpPr>
      <xdr:spPr>
        <a:xfrm>
          <a:off x="9177366" y="1447748"/>
          <a:ext cx="1504461" cy="9671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0818B4C-86CC-47C0-980A-CEFDB87BCC52}" type="TxLink">
            <a:rPr lang="en-US" sz="2000" b="0" i="0" u="none" strike="noStrike">
              <a:solidFill>
                <a:srgbClr val="000000"/>
              </a:solidFill>
              <a:latin typeface="Calibri"/>
              <a:cs typeface="Calibri"/>
            </a:rPr>
            <a:pPr algn="ctr"/>
            <a:t> ↑66 (55%)</a:t>
          </a:fld>
          <a:endParaRPr lang="en-IN" sz="2000"/>
        </a:p>
      </xdr:txBody>
    </xdr:sp>
    <xdr:clientData/>
  </xdr:twoCellAnchor>
  <xdr:twoCellAnchor>
    <xdr:from>
      <xdr:col>17</xdr:col>
      <xdr:colOff>221666</xdr:colOff>
      <xdr:row>6</xdr:row>
      <xdr:rowOff>90268</xdr:rowOff>
    </xdr:from>
    <xdr:to>
      <xdr:col>19</xdr:col>
      <xdr:colOff>485436</xdr:colOff>
      <xdr:row>9</xdr:row>
      <xdr:rowOff>139115</xdr:rowOff>
    </xdr:to>
    <xdr:sp macro="" textlink="Calculations!B14">
      <xdr:nvSpPr>
        <xdr:cNvPr id="18" name="TextBox 17">
          <a:extLst>
            <a:ext uri="{FF2B5EF4-FFF2-40B4-BE49-F238E27FC236}">
              <a16:creationId xmlns:a16="http://schemas.microsoft.com/office/drawing/2014/main" id="{70E40C10-FAF7-7210-003B-3D0A426C1343}"/>
            </a:ext>
          </a:extLst>
        </xdr:cNvPr>
        <xdr:cNvSpPr txBox="1"/>
      </xdr:nvSpPr>
      <xdr:spPr>
        <a:xfrm>
          <a:off x="11784938" y="1438663"/>
          <a:ext cx="1486733" cy="5897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764F062-38ED-4825-AEFB-919FB025FC03}" type="TxLink">
            <a:rPr lang="en-US" sz="2000" b="0" i="0" u="none" strike="noStrike">
              <a:solidFill>
                <a:srgbClr val="000000"/>
              </a:solidFill>
              <a:latin typeface="Calibri"/>
              <a:cs typeface="Calibri"/>
            </a:rPr>
            <a:pPr algn="ctr"/>
            <a:t>↑ 66 (55%)</a:t>
          </a:fld>
          <a:endParaRPr lang="en-IN" sz="2000"/>
        </a:p>
      </xdr:txBody>
    </xdr:sp>
    <xdr:clientData/>
  </xdr:twoCellAnchor>
  <xdr:twoCellAnchor>
    <xdr:from>
      <xdr:col>9</xdr:col>
      <xdr:colOff>2952</xdr:colOff>
      <xdr:row>3</xdr:row>
      <xdr:rowOff>156310</xdr:rowOff>
    </xdr:from>
    <xdr:to>
      <xdr:col>10</xdr:col>
      <xdr:colOff>528426</xdr:colOff>
      <xdr:row>5</xdr:row>
      <xdr:rowOff>123577</xdr:rowOff>
    </xdr:to>
    <xdr:sp macro="" textlink="">
      <xdr:nvSpPr>
        <xdr:cNvPr id="19" name="TextBox 18">
          <a:extLst>
            <a:ext uri="{FF2B5EF4-FFF2-40B4-BE49-F238E27FC236}">
              <a16:creationId xmlns:a16="http://schemas.microsoft.com/office/drawing/2014/main" id="{7A50229D-D95C-F381-C318-A91C2711F0F2}"/>
            </a:ext>
          </a:extLst>
        </xdr:cNvPr>
        <xdr:cNvSpPr txBox="1"/>
      </xdr:nvSpPr>
      <xdr:spPr>
        <a:xfrm>
          <a:off x="6670452" y="923195"/>
          <a:ext cx="1136051" cy="387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a:t>Pending</a:t>
          </a:r>
        </a:p>
      </xdr:txBody>
    </xdr:sp>
    <xdr:clientData/>
  </xdr:twoCellAnchor>
  <xdr:twoCellAnchor>
    <xdr:from>
      <xdr:col>13</xdr:col>
      <xdr:colOff>165853</xdr:colOff>
      <xdr:row>3</xdr:row>
      <xdr:rowOff>190679</xdr:rowOff>
    </xdr:from>
    <xdr:to>
      <xdr:col>15</xdr:col>
      <xdr:colOff>303325</xdr:colOff>
      <xdr:row>5</xdr:row>
      <xdr:rowOff>117089</xdr:rowOff>
    </xdr:to>
    <xdr:sp macro="" textlink="">
      <xdr:nvSpPr>
        <xdr:cNvPr id="20" name="TextBox 19">
          <a:extLst>
            <a:ext uri="{FF2B5EF4-FFF2-40B4-BE49-F238E27FC236}">
              <a16:creationId xmlns:a16="http://schemas.microsoft.com/office/drawing/2014/main" id="{45BDE286-1B0C-8CA8-79C9-2089CD624D2B}"/>
            </a:ext>
          </a:extLst>
        </xdr:cNvPr>
        <xdr:cNvSpPr txBox="1"/>
      </xdr:nvSpPr>
      <xdr:spPr>
        <a:xfrm>
          <a:off x="9275661" y="957564"/>
          <a:ext cx="1358626" cy="3464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a:t>High Risk</a:t>
          </a:r>
        </a:p>
      </xdr:txBody>
    </xdr:sp>
    <xdr:clientData/>
  </xdr:twoCellAnchor>
  <xdr:twoCellAnchor>
    <xdr:from>
      <xdr:col>17</xdr:col>
      <xdr:colOff>171229</xdr:colOff>
      <xdr:row>3</xdr:row>
      <xdr:rowOff>234595</xdr:rowOff>
    </xdr:from>
    <xdr:to>
      <xdr:col>19</xdr:col>
      <xdr:colOff>433085</xdr:colOff>
      <xdr:row>6</xdr:row>
      <xdr:rowOff>18897</xdr:rowOff>
    </xdr:to>
    <xdr:sp macro="" textlink="">
      <xdr:nvSpPr>
        <xdr:cNvPr id="22" name="TextBox 21">
          <a:extLst>
            <a:ext uri="{FF2B5EF4-FFF2-40B4-BE49-F238E27FC236}">
              <a16:creationId xmlns:a16="http://schemas.microsoft.com/office/drawing/2014/main" id="{B2E8B7A8-4FAD-42DA-0572-51FABF9AF7E4}"/>
            </a:ext>
          </a:extLst>
        </xdr:cNvPr>
        <xdr:cNvSpPr txBox="1"/>
      </xdr:nvSpPr>
      <xdr:spPr>
        <a:xfrm>
          <a:off x="11734501" y="987188"/>
          <a:ext cx="1484819" cy="3801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a:t>Alert</a:t>
          </a:r>
        </a:p>
      </xdr:txBody>
    </xdr:sp>
    <xdr:clientData/>
  </xdr:twoCellAnchor>
  <xdr:twoCellAnchor>
    <xdr:from>
      <xdr:col>0</xdr:col>
      <xdr:colOff>277686</xdr:colOff>
      <xdr:row>0</xdr:row>
      <xdr:rowOff>0</xdr:rowOff>
    </xdr:from>
    <xdr:to>
      <xdr:col>33</xdr:col>
      <xdr:colOff>88195</xdr:colOff>
      <xdr:row>2</xdr:row>
      <xdr:rowOff>317500</xdr:rowOff>
    </xdr:to>
    <xdr:sp macro="" textlink="">
      <xdr:nvSpPr>
        <xdr:cNvPr id="23" name="Rectangle: Rounded Corners 22">
          <a:extLst>
            <a:ext uri="{FF2B5EF4-FFF2-40B4-BE49-F238E27FC236}">
              <a16:creationId xmlns:a16="http://schemas.microsoft.com/office/drawing/2014/main" id="{756D9A4C-A0B0-450E-9352-32CAFE4556FC}"/>
            </a:ext>
          </a:extLst>
        </xdr:cNvPr>
        <xdr:cNvSpPr/>
      </xdr:nvSpPr>
      <xdr:spPr>
        <a:xfrm>
          <a:off x="277686" y="0"/>
          <a:ext cx="21329953" cy="670278"/>
        </a:xfrm>
        <a:prstGeom prst="roundRect">
          <a:avLst/>
        </a:prstGeom>
        <a:solidFill>
          <a:schemeClr val="tx2">
            <a:lumMod val="60000"/>
            <a:lumOff val="40000"/>
          </a:schemeClr>
        </a:solidFill>
        <a:effectLst>
          <a:outerShdw blurRad="50800" dist="50800" dir="5400000" sx="102000" sy="102000" algn="ctr" rotWithShape="0">
            <a:srgbClr val="000000">
              <a:alpha val="99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3600">
              <a:latin typeface="Segoe UI" panose="020B0502040204020203" pitchFamily="34" charset="0"/>
              <a:cs typeface="Segoe UI" panose="020B0502040204020203" pitchFamily="34" charset="0"/>
            </a:rPr>
            <a:t>Victim Compensation Tracking System</a:t>
          </a:r>
        </a:p>
      </xdr:txBody>
    </xdr:sp>
    <xdr:clientData/>
  </xdr:twoCellAnchor>
  <xdr:twoCellAnchor>
    <xdr:from>
      <xdr:col>17</xdr:col>
      <xdr:colOff>107331</xdr:colOff>
      <xdr:row>36</xdr:row>
      <xdr:rowOff>113832</xdr:rowOff>
    </xdr:from>
    <xdr:to>
      <xdr:col>33</xdr:col>
      <xdr:colOff>196017</xdr:colOff>
      <xdr:row>69</xdr:row>
      <xdr:rowOff>99317</xdr:rowOff>
    </xdr:to>
    <xdr:graphicFrame macro="">
      <xdr:nvGraphicFramePr>
        <xdr:cNvPr id="24" name="Chart 23">
          <a:extLst>
            <a:ext uri="{FF2B5EF4-FFF2-40B4-BE49-F238E27FC236}">
              <a16:creationId xmlns:a16="http://schemas.microsoft.com/office/drawing/2014/main" id="{18098E14-8ABC-4F7C-836C-B945F74DA0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34</xdr:col>
      <xdr:colOff>237950</xdr:colOff>
      <xdr:row>27</xdr:row>
      <xdr:rowOff>95471</xdr:rowOff>
    </xdr:from>
    <xdr:to>
      <xdr:col>39</xdr:col>
      <xdr:colOff>97115</xdr:colOff>
      <xdr:row>46</xdr:row>
      <xdr:rowOff>24423</xdr:rowOff>
    </xdr:to>
    <mc:AlternateContent xmlns:mc="http://schemas.openxmlformats.org/markup-compatibility/2006">
      <mc:Choice xmlns:a14="http://schemas.microsoft.com/office/drawing/2010/main" Requires="a14">
        <xdr:graphicFrame macro="">
          <xdr:nvGraphicFramePr>
            <xdr:cNvPr id="32" name="Approval_Status 1">
              <a:extLst>
                <a:ext uri="{FF2B5EF4-FFF2-40B4-BE49-F238E27FC236}">
                  <a16:creationId xmlns:a16="http://schemas.microsoft.com/office/drawing/2014/main" id="{9D4DF9B6-ADE5-4007-ACC5-DA0C697CD32D}"/>
                </a:ext>
              </a:extLst>
            </xdr:cNvPr>
            <xdr:cNvGraphicFramePr/>
          </xdr:nvGraphicFramePr>
          <xdr:xfrm>
            <a:off x="0" y="0"/>
            <a:ext cx="0" cy="0"/>
          </xdr:xfrm>
          <a:graphic>
            <a:graphicData uri="http://schemas.microsoft.com/office/drawing/2010/slicer">
              <sle:slicer xmlns:sle="http://schemas.microsoft.com/office/drawing/2010/slicer" name="Approval_Status 1"/>
            </a:graphicData>
          </a:graphic>
        </xdr:graphicFrame>
      </mc:Choice>
      <mc:Fallback>
        <xdr:sp macro="" textlink="">
          <xdr:nvSpPr>
            <xdr:cNvPr id="0" name=""/>
            <xdr:cNvSpPr>
              <a:spLocks noTextEdit="1"/>
            </xdr:cNvSpPr>
          </xdr:nvSpPr>
          <xdr:spPr>
            <a:xfrm>
              <a:off x="22169873" y="5615086"/>
              <a:ext cx="2912050" cy="36412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34</xdr:col>
      <xdr:colOff>237950</xdr:colOff>
      <xdr:row>5</xdr:row>
      <xdr:rowOff>160954</xdr:rowOff>
    </xdr:from>
    <xdr:to>
      <xdr:col>38</xdr:col>
      <xdr:colOff>545597</xdr:colOff>
      <xdr:row>25</xdr:row>
      <xdr:rowOff>141958</xdr:rowOff>
    </xdr:to>
    <mc:AlternateContent xmlns:mc="http://schemas.openxmlformats.org/markup-compatibility/2006">
      <mc:Choice xmlns:a14="http://schemas.microsoft.com/office/drawing/2010/main" Requires="a14">
        <xdr:graphicFrame macro="">
          <xdr:nvGraphicFramePr>
            <xdr:cNvPr id="33" name="District 1">
              <a:extLst>
                <a:ext uri="{FF2B5EF4-FFF2-40B4-BE49-F238E27FC236}">
                  <a16:creationId xmlns:a16="http://schemas.microsoft.com/office/drawing/2014/main" id="{F0CC69B3-D694-46F6-94E2-B8683A7926E5}"/>
                </a:ext>
              </a:extLst>
            </xdr:cNvPr>
            <xdr:cNvGraphicFramePr/>
          </xdr:nvGraphicFramePr>
          <xdr:xfrm>
            <a:off x="0" y="0"/>
            <a:ext cx="0" cy="0"/>
          </xdr:xfrm>
          <a:graphic>
            <a:graphicData uri="http://schemas.microsoft.com/office/drawing/2010/slicer">
              <sle:slicer xmlns:sle="http://schemas.microsoft.com/office/drawing/2010/slicer" name="District 1"/>
            </a:graphicData>
          </a:graphic>
        </xdr:graphicFrame>
      </mc:Choice>
      <mc:Fallback>
        <xdr:sp macro="" textlink="">
          <xdr:nvSpPr>
            <xdr:cNvPr id="0" name=""/>
            <xdr:cNvSpPr>
              <a:spLocks noTextEdit="1"/>
            </xdr:cNvSpPr>
          </xdr:nvSpPr>
          <xdr:spPr>
            <a:xfrm>
              <a:off x="22169873" y="1382108"/>
              <a:ext cx="2749955" cy="388869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34</xdr:col>
      <xdr:colOff>237950</xdr:colOff>
      <xdr:row>47</xdr:row>
      <xdr:rowOff>102577</xdr:rowOff>
    </xdr:from>
    <xdr:to>
      <xdr:col>39</xdr:col>
      <xdr:colOff>244230</xdr:colOff>
      <xdr:row>68</xdr:row>
      <xdr:rowOff>115155</xdr:rowOff>
    </xdr:to>
    <mc:AlternateContent xmlns:mc="http://schemas.openxmlformats.org/markup-compatibility/2006">
      <mc:Choice xmlns:a14="http://schemas.microsoft.com/office/drawing/2010/main" Requires="a14">
        <xdr:graphicFrame macro="">
          <xdr:nvGraphicFramePr>
            <xdr:cNvPr id="34" name="Application_Date 1">
              <a:extLst>
                <a:ext uri="{FF2B5EF4-FFF2-40B4-BE49-F238E27FC236}">
                  <a16:creationId xmlns:a16="http://schemas.microsoft.com/office/drawing/2014/main" id="{7F930AB5-78A2-459F-89DF-8A45A5BC7582}"/>
                </a:ext>
              </a:extLst>
            </xdr:cNvPr>
            <xdr:cNvGraphicFramePr/>
          </xdr:nvGraphicFramePr>
          <xdr:xfrm>
            <a:off x="0" y="0"/>
            <a:ext cx="0" cy="0"/>
          </xdr:xfrm>
          <a:graphic>
            <a:graphicData uri="http://schemas.microsoft.com/office/drawing/2010/slicer">
              <sle:slicer xmlns:sle="http://schemas.microsoft.com/office/drawing/2010/slicer" name="Application_Date 1"/>
            </a:graphicData>
          </a:graphic>
        </xdr:graphicFrame>
      </mc:Choice>
      <mc:Fallback>
        <xdr:sp macro="" textlink="">
          <xdr:nvSpPr>
            <xdr:cNvPr id="0" name=""/>
            <xdr:cNvSpPr>
              <a:spLocks noTextEdit="1"/>
            </xdr:cNvSpPr>
          </xdr:nvSpPr>
          <xdr:spPr>
            <a:xfrm>
              <a:off x="22169873" y="9529885"/>
              <a:ext cx="3059165" cy="41156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c:userShapes xmlns:c="http://schemas.openxmlformats.org/drawingml/2006/chart">
  <cdr:relSizeAnchor xmlns:cdr="http://schemas.openxmlformats.org/drawingml/2006/chartDrawing">
    <cdr:from>
      <cdr:x>0.41066</cdr:x>
      <cdr:y>0.35663</cdr:y>
    </cdr:from>
    <cdr:to>
      <cdr:x>0.58934</cdr:x>
      <cdr:y>0.64337</cdr:y>
    </cdr:to>
    <cdr:sp macro="" textlink="">
      <cdr:nvSpPr>
        <cdr:cNvPr id="3" name="TextBox 2">
          <a:extLst xmlns:a="http://schemas.openxmlformats.org/drawingml/2006/main">
            <a:ext uri="{FF2B5EF4-FFF2-40B4-BE49-F238E27FC236}">
              <a16:creationId xmlns:a16="http://schemas.microsoft.com/office/drawing/2014/main" id="{181BABC9-5025-F457-85D1-309741DEC4B8}"/>
            </a:ext>
          </a:extLst>
        </cdr:cNvPr>
        <cdr:cNvSpPr txBox="1"/>
      </cdr:nvSpPr>
      <cdr:spPr>
        <a:xfrm xmlns:a="http://schemas.openxmlformats.org/drawingml/2006/main">
          <a:off x="4202982" y="2274577"/>
          <a:ext cx="1828800" cy="18288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kern="1200">
            <a:latin typeface="+mn-lt"/>
            <a:ea typeface="+mn-ea"/>
            <a:cs typeface="+mn-cs"/>
          </a:endParaRP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6105.907492939812" createdVersion="8" refreshedVersion="8" minRefreshableVersion="3" recordCount="121" xr:uid="{43519F74-CB89-4EB5-B853-D44B079900AE}">
  <cacheSource type="worksheet">
    <worksheetSource ref="A1:L1048576" sheet="case_data"/>
  </cacheSource>
  <cacheFields count="15">
    <cacheField name="Case_ID" numFmtId="0">
      <sharedItems containsBlank="1"/>
    </cacheField>
    <cacheField name="Application_Date" numFmtId="164">
      <sharedItems containsNonDate="0" containsDate="1" containsString="0" containsBlank="1" minDate="2025-02-01T00:00:00" maxDate="2026-02-19T00:00:00" count="120">
        <d v="2026-02-18T00:00:00"/>
        <d v="2025-08-07T00:00:00"/>
        <d v="2025-03-05T00:00:00"/>
        <d v="2025-07-18T00:00:00"/>
        <d v="2025-12-29T00:00:00"/>
        <d v="2025-12-30T00:00:00"/>
        <d v="2025-12-31T00:00:00"/>
        <d v="2026-01-01T00:00:00"/>
        <d v="2026-01-02T00:00:00"/>
        <d v="2026-01-03T00:00:00"/>
        <d v="2026-01-04T00:00:00"/>
        <d v="2026-01-05T00:00:00"/>
        <d v="2026-01-06T00:00:00"/>
        <d v="2026-01-07T00:00:00"/>
        <d v="2026-01-08T00:00:00"/>
        <d v="2026-01-09T00:00:00"/>
        <d v="2026-01-10T00:00:00"/>
        <d v="2026-01-11T00:00:00"/>
        <d v="2026-01-12T00:00:00"/>
        <d v="2026-01-13T00:00:00"/>
        <d v="2026-01-14T00:00:00"/>
        <d v="2026-01-15T00:00:00"/>
        <d v="2026-01-16T00:00:00"/>
        <d v="2026-01-17T00:00:00"/>
        <d v="2026-01-18T00:00:00"/>
        <d v="2026-01-19T00:00:00"/>
        <d v="2026-01-20T00:00:00"/>
        <d v="2026-01-21T00:00:00"/>
        <d v="2026-01-22T00:00:00"/>
        <d v="2026-01-23T00:00:00"/>
        <d v="2026-01-24T00:00:00"/>
        <d v="2026-01-25T00:00:00"/>
        <d v="2026-01-26T00:00:00"/>
        <d v="2026-01-27T00:00:00"/>
        <d v="2026-01-28T00:00:00"/>
        <d v="2026-01-29T00:00:00"/>
        <d v="2026-01-30T00:00:00"/>
        <d v="2026-01-31T00:00:00"/>
        <d v="2025-02-01T00:00:00"/>
        <d v="2025-02-02T00:00:00"/>
        <d v="2025-02-03T00:00:00"/>
        <d v="2025-02-04T00:00:00"/>
        <d v="2025-02-05T00:00:00"/>
        <d v="2025-02-06T00:00:00"/>
        <d v="2025-02-07T00:00:00"/>
        <d v="2025-02-08T00:00:00"/>
        <d v="2025-02-09T00:00:00"/>
        <d v="2025-02-10T00:00:00"/>
        <d v="2025-02-11T00:00:00"/>
        <d v="2025-02-12T00:00:00"/>
        <d v="2025-02-13T00:00:00"/>
        <d v="2025-02-14T00:00:00"/>
        <d v="2025-02-15T00:00:00"/>
        <d v="2025-02-16T00:00:00"/>
        <d v="2025-02-17T00:00:00"/>
        <d v="2025-02-18T00:00:00"/>
        <d v="2025-02-19T00:00:00"/>
        <d v="2025-02-20T00:00:00"/>
        <d v="2025-02-21T00:00:00"/>
        <d v="2025-02-22T00:00:00"/>
        <d v="2025-02-23T00:00:00"/>
        <d v="2025-02-24T00:00:00"/>
        <d v="2025-02-25T00:00:00"/>
        <d v="2025-02-26T00:00:00"/>
        <d v="2025-02-27T00:00:00"/>
        <d v="2025-02-28T00:00:00"/>
        <d v="2025-03-01T00:00:00"/>
        <d v="2025-03-02T00:00:00"/>
        <d v="2025-03-03T00:00:00"/>
        <d v="2025-03-04T00:00:00"/>
        <d v="2025-03-06T00:00:00"/>
        <d v="2025-03-07T00:00:00"/>
        <d v="2025-03-08T00:00:00"/>
        <d v="2025-03-09T00:00:00"/>
        <d v="2025-03-10T00:00:00"/>
        <d v="2025-03-11T00:00:00"/>
        <d v="2025-03-12T00:00:00"/>
        <d v="2025-03-13T00:00:00"/>
        <d v="2025-03-14T00:00:00"/>
        <d v="2025-03-15T00:00:00"/>
        <d v="2025-03-16T00:00:00"/>
        <d v="2025-03-17T00:00:00"/>
        <d v="2025-03-18T00:00:00"/>
        <d v="2025-03-19T00:00:00"/>
        <d v="2025-03-20T00:00:00"/>
        <d v="2025-03-21T00:00:00"/>
        <d v="2025-03-22T00:00:00"/>
        <d v="2025-03-23T00:00:00"/>
        <d v="2025-03-24T00:00:00"/>
        <d v="2025-03-25T00:00:00"/>
        <d v="2025-03-26T00:00:00"/>
        <d v="2025-03-27T00:00:00"/>
        <d v="2025-03-28T00:00:00"/>
        <d v="2025-03-29T00:00:00"/>
        <d v="2025-03-30T00:00:00"/>
        <d v="2025-03-31T00:00:00"/>
        <d v="2025-04-01T00:00:00"/>
        <d v="2025-04-02T00:00:00"/>
        <d v="2025-04-03T00:00:00"/>
        <d v="2025-04-04T00:00:00"/>
        <d v="2025-04-05T00:00:00"/>
        <d v="2025-04-06T00:00:00"/>
        <d v="2025-04-07T00:00:00"/>
        <d v="2025-04-08T00:00:00"/>
        <d v="2025-04-09T00:00:00"/>
        <d v="2025-04-10T00:00:00"/>
        <d v="2025-04-11T00:00:00"/>
        <d v="2025-04-12T00:00:00"/>
        <d v="2025-04-13T00:00:00"/>
        <d v="2025-04-14T00:00:00"/>
        <d v="2025-04-15T00:00:00"/>
        <d v="2025-04-16T00:00:00"/>
        <d v="2025-04-17T00:00:00"/>
        <d v="2025-04-18T00:00:00"/>
        <d v="2025-04-19T00:00:00"/>
        <d v="2025-04-20T00:00:00"/>
        <d v="2025-04-21T00:00:00"/>
        <d v="2025-04-22T00:00:00"/>
        <d v="2025-04-23T00:00:00"/>
        <m/>
      </sharedItems>
      <fieldGroup par="14"/>
    </cacheField>
    <cacheField name="District" numFmtId="0">
      <sharedItems containsBlank="1" count="7">
        <s v="Nashik"/>
        <s v="Mumbai"/>
        <s v="Nagpur"/>
        <s v="Kolhapur"/>
        <s v="Pune"/>
        <s v="Amravati"/>
        <m/>
      </sharedItems>
    </cacheField>
    <cacheField name="Gender" numFmtId="0">
      <sharedItems containsBlank="1"/>
    </cacheField>
    <cacheField name="Case_Type" numFmtId="0">
      <sharedItems containsBlank="1"/>
    </cacheField>
    <cacheField name="Compensation_Amount" numFmtId="0">
      <sharedItems containsString="0" containsBlank="1" containsNumber="1" containsInteger="1" minValue="50000" maxValue="300000"/>
    </cacheField>
    <cacheField name="Paid_Amount" numFmtId="0">
      <sharedItems containsString="0" containsBlank="1" containsNumber="1" containsInteger="1" minValue="5705" maxValue="300000"/>
    </cacheField>
    <cacheField name="Approval_Status" numFmtId="0">
      <sharedItems containsBlank="1" count="3">
        <s v="Approved"/>
        <s v="Pending"/>
        <m/>
      </sharedItems>
    </cacheField>
    <cacheField name="Pending days" numFmtId="0">
      <sharedItems containsString="0" containsBlank="1" containsNumber="1" containsInteger="1" minValue="33" maxValue="415" count="120">
        <n v="33"/>
        <n v="228"/>
        <n v="383"/>
        <n v="248"/>
        <n v="84"/>
        <n v="83"/>
        <n v="82"/>
        <n v="81"/>
        <n v="80"/>
        <n v="79"/>
        <n v="78"/>
        <n v="77"/>
        <n v="76"/>
        <n v="75"/>
        <n v="74"/>
        <n v="73"/>
        <n v="72"/>
        <n v="71"/>
        <n v="70"/>
        <n v="69"/>
        <n v="68"/>
        <n v="67"/>
        <n v="66"/>
        <n v="65"/>
        <n v="64"/>
        <n v="63"/>
        <n v="62"/>
        <n v="61"/>
        <n v="60"/>
        <n v="59"/>
        <n v="58"/>
        <n v="57"/>
        <n v="56"/>
        <n v="55"/>
        <n v="54"/>
        <n v="53"/>
        <n v="52"/>
        <n v="51"/>
        <n v="415"/>
        <n v="414"/>
        <n v="413"/>
        <n v="412"/>
        <n v="411"/>
        <n v="410"/>
        <n v="409"/>
        <n v="408"/>
        <n v="407"/>
        <n v="406"/>
        <n v="405"/>
        <n v="404"/>
        <n v="403"/>
        <n v="402"/>
        <n v="401"/>
        <n v="400"/>
        <n v="399"/>
        <n v="398"/>
        <n v="397"/>
        <n v="396"/>
        <n v="395"/>
        <n v="394"/>
        <n v="393"/>
        <n v="392"/>
        <n v="391"/>
        <n v="390"/>
        <n v="389"/>
        <n v="388"/>
        <n v="387"/>
        <n v="386"/>
        <n v="385"/>
        <n v="384"/>
        <n v="382"/>
        <n v="381"/>
        <n v="380"/>
        <n v="379"/>
        <n v="378"/>
        <n v="377"/>
        <n v="376"/>
        <n v="375"/>
        <n v="374"/>
        <n v="373"/>
        <n v="372"/>
        <n v="371"/>
        <n v="370"/>
        <n v="369"/>
        <n v="368"/>
        <n v="367"/>
        <n v="366"/>
        <n v="365"/>
        <n v="364"/>
        <n v="363"/>
        <n v="362"/>
        <n v="361"/>
        <n v="360"/>
        <n v="359"/>
        <n v="358"/>
        <n v="357"/>
        <n v="356"/>
        <n v="355"/>
        <n v="354"/>
        <n v="353"/>
        <n v="352"/>
        <n v="351"/>
        <n v="350"/>
        <n v="349"/>
        <n v="348"/>
        <n v="347"/>
        <n v="346"/>
        <n v="345"/>
        <n v="344"/>
        <n v="343"/>
        <n v="342"/>
        <n v="341"/>
        <n v="340"/>
        <n v="339"/>
        <n v="338"/>
        <n v="337"/>
        <n v="336"/>
        <n v="335"/>
        <n v="334"/>
        <m/>
      </sharedItems>
    </cacheField>
    <cacheField name="Delay Forecast" numFmtId="0">
      <sharedItems containsBlank="1" count="4">
        <s v="On Time"/>
        <s v="Delay"/>
        <s v="High Delay"/>
        <m/>
      </sharedItems>
    </cacheField>
    <cacheField name="Risk level" numFmtId="0">
      <sharedItems containsBlank="1" count="4">
        <s v="Low"/>
        <s v="Medium"/>
        <s v="High"/>
        <m/>
      </sharedItems>
    </cacheField>
    <cacheField name="Alert Flag" numFmtId="0">
      <sharedItems containsBlank="1"/>
    </cacheField>
    <cacheField name="Months (Application_Date)" numFmtId="0" databaseField="0">
      <fieldGroup base="1">
        <rangePr groupBy="months" startDate="2025-02-01T00:00:00" endDate="2026-02-19T00:00:00"/>
        <groupItems count="14">
          <s v="&lt;01-02-2025"/>
          <s v="Jan"/>
          <s v="Feb"/>
          <s v="Mar"/>
          <s v="Apr"/>
          <s v="May"/>
          <s v="Jun"/>
          <s v="Jul"/>
          <s v="Aug"/>
          <s v="Sep"/>
          <s v="Oct"/>
          <s v="Nov"/>
          <s v="Dec"/>
          <s v="&gt;19-02-2026"/>
        </groupItems>
      </fieldGroup>
    </cacheField>
    <cacheField name="Quarters (Application_Date)" numFmtId="0" databaseField="0">
      <fieldGroup base="1">
        <rangePr groupBy="quarters" startDate="2025-02-01T00:00:00" endDate="2026-02-19T00:00:00"/>
        <groupItems count="6">
          <s v="&lt;01-02-2025"/>
          <s v="Qtr1"/>
          <s v="Qtr2"/>
          <s v="Qtr3"/>
          <s v="Qtr4"/>
          <s v="&gt;19-02-2026"/>
        </groupItems>
      </fieldGroup>
    </cacheField>
    <cacheField name="Years (Application_Date)" numFmtId="0" databaseField="0">
      <fieldGroup base="1">
        <rangePr groupBy="years" startDate="2025-02-01T00:00:00" endDate="2026-02-19T00:00:00"/>
        <groupItems count="4">
          <s v="&lt;01-02-2025"/>
          <s v="2025"/>
          <s v="2026"/>
          <s v="&gt;19-02-2026"/>
        </groupItems>
      </fieldGroup>
    </cacheField>
  </cacheFields>
  <extLst>
    <ext xmlns:x14="http://schemas.microsoft.com/office/spreadsheetml/2009/9/main" uri="{725AE2AE-9491-48be-B2B4-4EB974FC3084}">
      <x14:pivotCacheDefinition pivotCacheId="111751319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6106.435357407405" createdVersion="8" refreshedVersion="8" minRefreshableVersion="3" recordCount="120" xr:uid="{1B62E3AB-F32C-4A5C-87A8-A9EDFB599EFA}">
  <cacheSource type="worksheet">
    <worksheetSource name="Table1"/>
  </cacheSource>
  <cacheFields count="15">
    <cacheField name="Case_ID" numFmtId="0">
      <sharedItems/>
    </cacheField>
    <cacheField name="Application_Date" numFmtId="164">
      <sharedItems containsSemiMixedTypes="0" containsNonDate="0" containsDate="1" containsString="0" minDate="2025-02-01T00:00:00" maxDate="2026-02-19T00:00:00" count="119">
        <d v="2026-02-18T00:00:00"/>
        <d v="2025-08-07T00:00:00"/>
        <d v="2025-03-05T00:00:00"/>
        <d v="2025-07-18T00:00:00"/>
        <d v="2025-12-29T00:00:00"/>
        <d v="2025-12-30T00:00:00"/>
        <d v="2025-12-31T00:00:00"/>
        <d v="2026-01-01T00:00:00"/>
        <d v="2026-01-02T00:00:00"/>
        <d v="2026-01-03T00:00:00"/>
        <d v="2026-01-04T00:00:00"/>
        <d v="2026-01-05T00:00:00"/>
        <d v="2026-01-06T00:00:00"/>
        <d v="2026-01-07T00:00:00"/>
        <d v="2026-01-08T00:00:00"/>
        <d v="2026-01-09T00:00:00"/>
        <d v="2026-01-10T00:00:00"/>
        <d v="2026-01-11T00:00:00"/>
        <d v="2026-01-12T00:00:00"/>
        <d v="2026-01-13T00:00:00"/>
        <d v="2026-01-14T00:00:00"/>
        <d v="2026-01-15T00:00:00"/>
        <d v="2026-01-16T00:00:00"/>
        <d v="2026-01-17T00:00:00"/>
        <d v="2026-01-18T00:00:00"/>
        <d v="2026-01-19T00:00:00"/>
        <d v="2026-01-20T00:00:00"/>
        <d v="2026-01-21T00:00:00"/>
        <d v="2026-01-22T00:00:00"/>
        <d v="2026-01-23T00:00:00"/>
        <d v="2026-01-24T00:00:00"/>
        <d v="2026-01-25T00:00:00"/>
        <d v="2026-01-26T00:00:00"/>
        <d v="2026-01-27T00:00:00"/>
        <d v="2026-01-28T00:00:00"/>
        <d v="2026-01-29T00:00:00"/>
        <d v="2026-01-30T00:00:00"/>
        <d v="2026-01-31T00:00:00"/>
        <d v="2025-02-01T00:00:00"/>
        <d v="2025-02-02T00:00:00"/>
        <d v="2025-02-03T00:00:00"/>
        <d v="2025-02-04T00:00:00"/>
        <d v="2025-02-05T00:00:00"/>
        <d v="2025-02-06T00:00:00"/>
        <d v="2025-02-07T00:00:00"/>
        <d v="2025-02-08T00:00:00"/>
        <d v="2025-02-09T00:00:00"/>
        <d v="2025-02-10T00:00:00"/>
        <d v="2025-02-11T00:00:00"/>
        <d v="2025-02-12T00:00:00"/>
        <d v="2025-02-13T00:00:00"/>
        <d v="2025-02-14T00:00:00"/>
        <d v="2025-02-15T00:00:00"/>
        <d v="2025-02-16T00:00:00"/>
        <d v="2025-02-17T00:00:00"/>
        <d v="2025-02-18T00:00:00"/>
        <d v="2025-02-19T00:00:00"/>
        <d v="2025-02-20T00:00:00"/>
        <d v="2025-02-21T00:00:00"/>
        <d v="2025-02-22T00:00:00"/>
        <d v="2025-02-23T00:00:00"/>
        <d v="2025-02-24T00:00:00"/>
        <d v="2025-02-25T00:00:00"/>
        <d v="2025-02-26T00:00:00"/>
        <d v="2025-02-27T00:00:00"/>
        <d v="2025-02-28T00:00:00"/>
        <d v="2025-03-01T00:00:00"/>
        <d v="2025-03-02T00:00:00"/>
        <d v="2025-03-03T00:00:00"/>
        <d v="2025-03-04T00:00:00"/>
        <d v="2025-03-06T00:00:00"/>
        <d v="2025-03-07T00:00:00"/>
        <d v="2025-03-08T00:00:00"/>
        <d v="2025-03-09T00:00:00"/>
        <d v="2025-03-10T00:00:00"/>
        <d v="2025-03-11T00:00:00"/>
        <d v="2025-03-12T00:00:00"/>
        <d v="2025-03-13T00:00:00"/>
        <d v="2025-03-14T00:00:00"/>
        <d v="2025-03-15T00:00:00"/>
        <d v="2025-03-16T00:00:00"/>
        <d v="2025-03-17T00:00:00"/>
        <d v="2025-03-18T00:00:00"/>
        <d v="2025-03-19T00:00:00"/>
        <d v="2025-03-20T00:00:00"/>
        <d v="2025-03-21T00:00:00"/>
        <d v="2025-03-22T00:00:00"/>
        <d v="2025-03-23T00:00:00"/>
        <d v="2025-03-24T00:00:00"/>
        <d v="2025-03-25T00:00:00"/>
        <d v="2025-03-26T00:00:00"/>
        <d v="2025-03-27T00:00:00"/>
        <d v="2025-03-28T00:00:00"/>
        <d v="2025-03-29T00:00:00"/>
        <d v="2025-03-30T00:00:00"/>
        <d v="2025-03-31T00:00:00"/>
        <d v="2025-04-01T00:00:00"/>
        <d v="2025-04-02T00:00:00"/>
        <d v="2025-04-03T00:00:00"/>
        <d v="2025-04-04T00:00:00"/>
        <d v="2025-04-05T00:00:00"/>
        <d v="2025-04-06T00:00:00"/>
        <d v="2025-04-07T00:00:00"/>
        <d v="2025-04-08T00:00:00"/>
        <d v="2025-04-09T00:00:00"/>
        <d v="2025-04-10T00:00:00"/>
        <d v="2025-04-11T00:00:00"/>
        <d v="2025-04-12T00:00:00"/>
        <d v="2025-04-13T00:00:00"/>
        <d v="2025-04-14T00:00:00"/>
        <d v="2025-04-15T00:00:00"/>
        <d v="2025-04-16T00:00:00"/>
        <d v="2025-04-17T00:00:00"/>
        <d v="2025-04-18T00:00:00"/>
        <d v="2025-04-19T00:00:00"/>
        <d v="2025-04-20T00:00:00"/>
        <d v="2025-04-21T00:00:00"/>
        <d v="2025-04-22T00:00:00"/>
        <d v="2025-04-23T00:00:00"/>
      </sharedItems>
      <fieldGroup par="14"/>
    </cacheField>
    <cacheField name="District" numFmtId="0">
      <sharedItems count="6">
        <s v="Nashik"/>
        <s v="Mumbai"/>
        <s v="Nagpur"/>
        <s v="Kolhapur"/>
        <s v="Pune"/>
        <s v="Amravati"/>
      </sharedItems>
    </cacheField>
    <cacheField name="Gender" numFmtId="0">
      <sharedItems count="2">
        <s v="Female"/>
        <s v="Male"/>
      </sharedItems>
    </cacheField>
    <cacheField name="Case_Type" numFmtId="0">
      <sharedItems count="6">
        <s v="Domestic Violence"/>
        <s v="Cyber Crime"/>
        <s v="Human Trafficking"/>
        <s v="Child Abuse"/>
        <s v="Fraud"/>
        <s v="Assault"/>
      </sharedItems>
    </cacheField>
    <cacheField name="Compensation_Amount" numFmtId="0">
      <sharedItems containsSemiMixedTypes="0" containsString="0" containsNumber="1" containsInteger="1" minValue="50000" maxValue="300000"/>
    </cacheField>
    <cacheField name="Paid_Amount" numFmtId="0">
      <sharedItems containsSemiMixedTypes="0" containsString="0" containsNumber="1" containsInteger="1" minValue="5705" maxValue="300000"/>
    </cacheField>
    <cacheField name="Approval_Status" numFmtId="0">
      <sharedItems count="2">
        <s v="Approved"/>
        <s v="Pending"/>
      </sharedItems>
    </cacheField>
    <cacheField name="Pending days" numFmtId="0">
      <sharedItems containsSemiMixedTypes="0" containsString="0" containsNumber="1" containsInteger="1" minValue="33" maxValue="415"/>
    </cacheField>
    <cacheField name="Delay Forecast" numFmtId="0">
      <sharedItems count="3">
        <s v="On Time"/>
        <s v="Delay"/>
        <s v="High Delay"/>
      </sharedItems>
    </cacheField>
    <cacheField name="Risk level" numFmtId="0">
      <sharedItems count="3">
        <s v="Low"/>
        <s v="Medium"/>
        <s v="High"/>
      </sharedItems>
    </cacheField>
    <cacheField name="Alert Flag" numFmtId="0">
      <sharedItems containsBlank="1"/>
    </cacheField>
    <cacheField name="Months (Application_Date)" numFmtId="0" databaseField="0">
      <fieldGroup base="1">
        <rangePr groupBy="months" startDate="2025-02-01T00:00:00" endDate="2026-02-19T00:00:00"/>
        <groupItems count="14">
          <s v="&lt;01-02-2025"/>
          <s v="Jan"/>
          <s v="Feb"/>
          <s v="Mar"/>
          <s v="Apr"/>
          <s v="May"/>
          <s v="Jun"/>
          <s v="Jul"/>
          <s v="Aug"/>
          <s v="Sep"/>
          <s v="Oct"/>
          <s v="Nov"/>
          <s v="Dec"/>
          <s v="&gt;19-02-2026"/>
        </groupItems>
      </fieldGroup>
    </cacheField>
    <cacheField name="Quarters (Application_Date)" numFmtId="0" databaseField="0">
      <fieldGroup base="1">
        <rangePr groupBy="quarters" startDate="2025-02-01T00:00:00" endDate="2026-02-19T00:00:00"/>
        <groupItems count="6">
          <s v="&lt;01-02-2025"/>
          <s v="Qtr1"/>
          <s v="Qtr2"/>
          <s v="Qtr3"/>
          <s v="Qtr4"/>
          <s v="&gt;19-02-2026"/>
        </groupItems>
      </fieldGroup>
    </cacheField>
    <cacheField name="Years (Application_Date)" numFmtId="0" databaseField="0">
      <fieldGroup base="1">
        <rangePr groupBy="years" startDate="2025-02-01T00:00:00" endDate="2026-02-19T00:00:00"/>
        <groupItems count="4">
          <s v="&lt;01-02-2025"/>
          <s v="2025"/>
          <s v="2026"/>
          <s v="&gt;19-02-2026"/>
        </groupItems>
      </fieldGroup>
    </cacheField>
  </cacheFields>
  <extLst>
    <ext xmlns:x14="http://schemas.microsoft.com/office/spreadsheetml/2009/9/main" uri="{725AE2AE-9491-48be-B2B4-4EB974FC3084}">
      <x14:pivotCacheDefinition pivotCacheId="27393329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1">
  <r>
    <s v="CASE001"/>
    <x v="0"/>
    <x v="0"/>
    <s v="Female"/>
    <s v="Domestic Violence"/>
    <n v="150000"/>
    <n v="150000"/>
    <x v="0"/>
    <x v="0"/>
    <x v="0"/>
    <x v="0"/>
    <m/>
  </r>
  <r>
    <s v="CASE002"/>
    <x v="1"/>
    <x v="1"/>
    <s v="Male"/>
    <s v="Domestic Violence"/>
    <n v="100000"/>
    <n v="100000"/>
    <x v="0"/>
    <x v="1"/>
    <x v="1"/>
    <x v="1"/>
    <m/>
  </r>
  <r>
    <s v="CASE003"/>
    <x v="2"/>
    <x v="0"/>
    <s v="Female"/>
    <s v="Cyber Crime"/>
    <n v="300000"/>
    <n v="168661"/>
    <x v="1"/>
    <x v="2"/>
    <x v="2"/>
    <x v="2"/>
    <s v="ALERT"/>
  </r>
  <r>
    <s v="CASE004"/>
    <x v="3"/>
    <x v="1"/>
    <s v="Female"/>
    <s v="Cyber Crime"/>
    <n v="100000"/>
    <n v="71075"/>
    <x v="1"/>
    <x v="3"/>
    <x v="1"/>
    <x v="1"/>
    <m/>
  </r>
  <r>
    <s v="CASE005"/>
    <x v="4"/>
    <x v="0"/>
    <s v="Female"/>
    <s v="Human Trafficking"/>
    <n v="150000"/>
    <n v="150000"/>
    <x v="0"/>
    <x v="4"/>
    <x v="0"/>
    <x v="0"/>
    <m/>
  </r>
  <r>
    <s v="CASE006"/>
    <x v="5"/>
    <x v="2"/>
    <s v="Male"/>
    <s v="Child Abuse"/>
    <n v="150000"/>
    <n v="16848"/>
    <x v="1"/>
    <x v="5"/>
    <x v="0"/>
    <x v="0"/>
    <m/>
  </r>
  <r>
    <s v="CASE007"/>
    <x v="6"/>
    <x v="3"/>
    <s v="Female"/>
    <s v="Fraud"/>
    <n v="300000"/>
    <n v="300000"/>
    <x v="0"/>
    <x v="6"/>
    <x v="0"/>
    <x v="0"/>
    <m/>
  </r>
  <r>
    <s v="CASE008"/>
    <x v="7"/>
    <x v="4"/>
    <s v="Female"/>
    <s v="Child Abuse"/>
    <n v="100000"/>
    <n v="100000"/>
    <x v="0"/>
    <x v="7"/>
    <x v="0"/>
    <x v="0"/>
    <m/>
  </r>
  <r>
    <s v="CASE009"/>
    <x v="8"/>
    <x v="5"/>
    <s v="Female"/>
    <s v="Domestic Violence"/>
    <n v="50000"/>
    <n v="24090"/>
    <x v="1"/>
    <x v="8"/>
    <x v="0"/>
    <x v="0"/>
    <m/>
  </r>
  <r>
    <s v="CASE010"/>
    <x v="9"/>
    <x v="2"/>
    <s v="Male"/>
    <s v="Domestic Violence"/>
    <n v="100000"/>
    <n v="100000"/>
    <x v="0"/>
    <x v="9"/>
    <x v="0"/>
    <x v="0"/>
    <m/>
  </r>
  <r>
    <s v="CASE011"/>
    <x v="10"/>
    <x v="4"/>
    <s v="Male"/>
    <s v="Child Abuse"/>
    <n v="300000"/>
    <n v="89797"/>
    <x v="1"/>
    <x v="10"/>
    <x v="0"/>
    <x v="0"/>
    <m/>
  </r>
  <r>
    <s v="CASE012"/>
    <x v="11"/>
    <x v="2"/>
    <s v="Female"/>
    <s v="Fraud"/>
    <n v="200000"/>
    <n v="200000"/>
    <x v="0"/>
    <x v="11"/>
    <x v="0"/>
    <x v="0"/>
    <m/>
  </r>
  <r>
    <s v="CASE013"/>
    <x v="12"/>
    <x v="5"/>
    <s v="Female"/>
    <s v="Fraud"/>
    <n v="75000"/>
    <n v="17224"/>
    <x v="1"/>
    <x v="12"/>
    <x v="0"/>
    <x v="0"/>
    <m/>
  </r>
  <r>
    <s v="CASE014"/>
    <x v="13"/>
    <x v="1"/>
    <s v="Female"/>
    <s v="Domestic Violence"/>
    <n v="50000"/>
    <n v="50000"/>
    <x v="0"/>
    <x v="13"/>
    <x v="0"/>
    <x v="0"/>
    <m/>
  </r>
  <r>
    <s v="CASE015"/>
    <x v="14"/>
    <x v="4"/>
    <s v="Male"/>
    <s v="Child Abuse"/>
    <n v="100000"/>
    <n v="50668"/>
    <x v="1"/>
    <x v="14"/>
    <x v="0"/>
    <x v="0"/>
    <m/>
  </r>
  <r>
    <s v="CASE016"/>
    <x v="15"/>
    <x v="2"/>
    <s v="Male"/>
    <s v="Child Abuse"/>
    <n v="75000"/>
    <n v="8217"/>
    <x v="1"/>
    <x v="15"/>
    <x v="0"/>
    <x v="0"/>
    <m/>
  </r>
  <r>
    <s v="CASE017"/>
    <x v="16"/>
    <x v="4"/>
    <s v="Male"/>
    <s v="Fraud"/>
    <n v="200000"/>
    <n v="88539"/>
    <x v="1"/>
    <x v="16"/>
    <x v="0"/>
    <x v="0"/>
    <m/>
  </r>
  <r>
    <s v="CASE018"/>
    <x v="17"/>
    <x v="4"/>
    <s v="Female"/>
    <s v="Assault"/>
    <n v="150000"/>
    <n v="150000"/>
    <x v="0"/>
    <x v="17"/>
    <x v="0"/>
    <x v="0"/>
    <m/>
  </r>
  <r>
    <s v="CASE019"/>
    <x v="18"/>
    <x v="5"/>
    <s v="Female"/>
    <s v="Cyber Crime"/>
    <n v="200000"/>
    <n v="200000"/>
    <x v="0"/>
    <x v="18"/>
    <x v="0"/>
    <x v="0"/>
    <m/>
  </r>
  <r>
    <s v="CASE020"/>
    <x v="19"/>
    <x v="4"/>
    <s v="Male"/>
    <s v="Cyber Crime"/>
    <n v="100000"/>
    <n v="93853"/>
    <x v="1"/>
    <x v="19"/>
    <x v="0"/>
    <x v="0"/>
    <m/>
  </r>
  <r>
    <s v="CASE021"/>
    <x v="20"/>
    <x v="5"/>
    <s v="Female"/>
    <s v="Fraud"/>
    <n v="300000"/>
    <n v="84627"/>
    <x v="1"/>
    <x v="20"/>
    <x v="0"/>
    <x v="0"/>
    <m/>
  </r>
  <r>
    <s v="CASE022"/>
    <x v="21"/>
    <x v="1"/>
    <s v="Female"/>
    <s v="Assault"/>
    <n v="300000"/>
    <n v="90197"/>
    <x v="1"/>
    <x v="21"/>
    <x v="0"/>
    <x v="0"/>
    <m/>
  </r>
  <r>
    <s v="CASE023"/>
    <x v="22"/>
    <x v="5"/>
    <s v="Male"/>
    <s v="Human Trafficking"/>
    <n v="75000"/>
    <n v="75000"/>
    <x v="0"/>
    <x v="22"/>
    <x v="0"/>
    <x v="0"/>
    <m/>
  </r>
  <r>
    <s v="CASE024"/>
    <x v="23"/>
    <x v="3"/>
    <s v="Male"/>
    <s v="Assault"/>
    <n v="150000"/>
    <n v="150000"/>
    <x v="0"/>
    <x v="23"/>
    <x v="0"/>
    <x v="0"/>
    <m/>
  </r>
  <r>
    <s v="CASE025"/>
    <x v="24"/>
    <x v="5"/>
    <s v="Male"/>
    <s v="Human Trafficking"/>
    <n v="150000"/>
    <n v="25272"/>
    <x v="1"/>
    <x v="24"/>
    <x v="0"/>
    <x v="0"/>
    <m/>
  </r>
  <r>
    <s v="CASE026"/>
    <x v="25"/>
    <x v="0"/>
    <s v="Female"/>
    <s v="Cyber Crime"/>
    <n v="75000"/>
    <n v="45000"/>
    <x v="1"/>
    <x v="25"/>
    <x v="0"/>
    <x v="0"/>
    <m/>
  </r>
  <r>
    <s v="CASE027"/>
    <x v="26"/>
    <x v="5"/>
    <s v="Female"/>
    <s v="Human Trafficking"/>
    <n v="75000"/>
    <n v="75000"/>
    <x v="0"/>
    <x v="26"/>
    <x v="0"/>
    <x v="0"/>
    <m/>
  </r>
  <r>
    <s v="CASE028"/>
    <x v="27"/>
    <x v="3"/>
    <s v="Female"/>
    <s v="Domestic Violence"/>
    <n v="300000"/>
    <n v="300000"/>
    <x v="0"/>
    <x v="27"/>
    <x v="0"/>
    <x v="0"/>
    <m/>
  </r>
  <r>
    <s v="CASE029"/>
    <x v="28"/>
    <x v="3"/>
    <s v="Male"/>
    <s v="Child Abuse"/>
    <n v="50000"/>
    <n v="5854"/>
    <x v="1"/>
    <x v="28"/>
    <x v="0"/>
    <x v="0"/>
    <m/>
  </r>
  <r>
    <s v="CASE030"/>
    <x v="29"/>
    <x v="2"/>
    <s v="Male"/>
    <s v="Cyber Crime"/>
    <n v="75000"/>
    <n v="43184"/>
    <x v="1"/>
    <x v="29"/>
    <x v="0"/>
    <x v="0"/>
    <m/>
  </r>
  <r>
    <s v="CASE031"/>
    <x v="30"/>
    <x v="1"/>
    <s v="Male"/>
    <s v="Cyber Crime"/>
    <n v="50000"/>
    <n v="50000"/>
    <x v="0"/>
    <x v="30"/>
    <x v="0"/>
    <x v="0"/>
    <m/>
  </r>
  <r>
    <s v="CASE032"/>
    <x v="31"/>
    <x v="4"/>
    <s v="Female"/>
    <s v="Assault"/>
    <n v="150000"/>
    <n v="192486"/>
    <x v="0"/>
    <x v="31"/>
    <x v="0"/>
    <x v="0"/>
    <m/>
  </r>
  <r>
    <s v="CASE033"/>
    <x v="32"/>
    <x v="5"/>
    <s v="Female"/>
    <s v="Fraud"/>
    <n v="75000"/>
    <n v="35000"/>
    <x v="1"/>
    <x v="32"/>
    <x v="0"/>
    <x v="0"/>
    <m/>
  </r>
  <r>
    <s v="CASE034"/>
    <x v="33"/>
    <x v="2"/>
    <s v="Female"/>
    <s v="Cyber Crime"/>
    <n v="300000"/>
    <n v="62741"/>
    <x v="1"/>
    <x v="33"/>
    <x v="0"/>
    <x v="0"/>
    <m/>
  </r>
  <r>
    <s v="CASE035"/>
    <x v="34"/>
    <x v="4"/>
    <s v="Male"/>
    <s v="Fraud"/>
    <n v="50000"/>
    <n v="50000"/>
    <x v="0"/>
    <x v="34"/>
    <x v="0"/>
    <x v="0"/>
    <m/>
  </r>
  <r>
    <s v="CASE036"/>
    <x v="35"/>
    <x v="4"/>
    <s v="Male"/>
    <s v="Child Abuse"/>
    <n v="200000"/>
    <n v="200000"/>
    <x v="0"/>
    <x v="35"/>
    <x v="0"/>
    <x v="0"/>
    <m/>
  </r>
  <r>
    <s v="CASE037"/>
    <x v="36"/>
    <x v="4"/>
    <s v="Male"/>
    <s v="Domestic Violence"/>
    <n v="200000"/>
    <n v="50544"/>
    <x v="1"/>
    <x v="36"/>
    <x v="0"/>
    <x v="0"/>
    <m/>
  </r>
  <r>
    <s v="CASE038"/>
    <x v="37"/>
    <x v="5"/>
    <s v="Male"/>
    <s v="Assault"/>
    <n v="50000"/>
    <n v="50000"/>
    <x v="0"/>
    <x v="37"/>
    <x v="0"/>
    <x v="0"/>
    <m/>
  </r>
  <r>
    <s v="CASE039"/>
    <x v="38"/>
    <x v="5"/>
    <s v="Female"/>
    <s v="Child Abuse"/>
    <n v="200000"/>
    <n v="200000"/>
    <x v="0"/>
    <x v="38"/>
    <x v="2"/>
    <x v="2"/>
    <s v="ALERT"/>
  </r>
  <r>
    <s v="CASE040"/>
    <x v="39"/>
    <x v="0"/>
    <s v="Female"/>
    <s v="Fraud"/>
    <n v="200000"/>
    <n v="200000"/>
    <x v="0"/>
    <x v="39"/>
    <x v="2"/>
    <x v="2"/>
    <s v="ALERT"/>
  </r>
  <r>
    <s v="CASE041"/>
    <x v="40"/>
    <x v="1"/>
    <s v="Male"/>
    <s v="Fraud"/>
    <n v="300000"/>
    <n v="41830"/>
    <x v="1"/>
    <x v="40"/>
    <x v="2"/>
    <x v="2"/>
    <s v="ALERT"/>
  </r>
  <r>
    <s v="CASE042"/>
    <x v="41"/>
    <x v="3"/>
    <s v="Male"/>
    <s v="Human Trafficking"/>
    <n v="50000"/>
    <n v="6232"/>
    <x v="1"/>
    <x v="41"/>
    <x v="2"/>
    <x v="2"/>
    <s v="ALERT"/>
  </r>
  <r>
    <s v="CASE043"/>
    <x v="42"/>
    <x v="4"/>
    <s v="Female"/>
    <s v="Child Abuse"/>
    <n v="150000"/>
    <n v="90487"/>
    <x v="1"/>
    <x v="42"/>
    <x v="2"/>
    <x v="2"/>
    <s v="ALERT"/>
  </r>
  <r>
    <s v="CASE044"/>
    <x v="43"/>
    <x v="2"/>
    <s v="Male"/>
    <s v="Assault"/>
    <n v="75000"/>
    <n v="75000"/>
    <x v="0"/>
    <x v="43"/>
    <x v="2"/>
    <x v="2"/>
    <s v="ALERT"/>
  </r>
  <r>
    <s v="CASE045"/>
    <x v="44"/>
    <x v="5"/>
    <s v="Male"/>
    <s v="Assault"/>
    <n v="150000"/>
    <n v="150000"/>
    <x v="0"/>
    <x v="44"/>
    <x v="2"/>
    <x v="2"/>
    <s v="ALERT"/>
  </r>
  <r>
    <s v="CASE046"/>
    <x v="45"/>
    <x v="1"/>
    <s v="Male"/>
    <s v="Domestic Violence"/>
    <n v="200000"/>
    <n v="200000"/>
    <x v="0"/>
    <x v="45"/>
    <x v="2"/>
    <x v="2"/>
    <s v="ALERT"/>
  </r>
  <r>
    <s v="CASE047"/>
    <x v="46"/>
    <x v="2"/>
    <s v="Female"/>
    <s v="Child Abuse"/>
    <n v="300000"/>
    <n v="71815"/>
    <x v="1"/>
    <x v="46"/>
    <x v="2"/>
    <x v="2"/>
    <s v="ALERT"/>
  </r>
  <r>
    <s v="CASE048"/>
    <x v="47"/>
    <x v="0"/>
    <s v="Female"/>
    <s v="Child Abuse"/>
    <n v="200000"/>
    <n v="61468"/>
    <x v="1"/>
    <x v="47"/>
    <x v="2"/>
    <x v="2"/>
    <s v="ALERT"/>
  </r>
  <r>
    <s v="CASE049"/>
    <x v="48"/>
    <x v="3"/>
    <s v="Female"/>
    <s v="Cyber Crime"/>
    <n v="300000"/>
    <n v="110426"/>
    <x v="1"/>
    <x v="48"/>
    <x v="2"/>
    <x v="2"/>
    <s v="ALERT"/>
  </r>
  <r>
    <s v="CASE050"/>
    <x v="49"/>
    <x v="0"/>
    <s v="Female"/>
    <s v="Domestic Violence"/>
    <n v="100000"/>
    <n v="100000"/>
    <x v="0"/>
    <x v="49"/>
    <x v="2"/>
    <x v="2"/>
    <s v="ALERT"/>
  </r>
  <r>
    <s v="CASE051"/>
    <x v="50"/>
    <x v="5"/>
    <s v="Male"/>
    <s v="Domestic Violence"/>
    <n v="50000"/>
    <n v="50000"/>
    <x v="0"/>
    <x v="50"/>
    <x v="2"/>
    <x v="2"/>
    <s v="ALERT"/>
  </r>
  <r>
    <s v="CASE052"/>
    <x v="51"/>
    <x v="3"/>
    <s v="Female"/>
    <s v="Cyber Crime"/>
    <n v="100000"/>
    <n v="10194"/>
    <x v="1"/>
    <x v="51"/>
    <x v="2"/>
    <x v="2"/>
    <s v="ALERT"/>
  </r>
  <r>
    <s v="CASE053"/>
    <x v="52"/>
    <x v="4"/>
    <s v="Female"/>
    <s v="Human Trafficking"/>
    <n v="50000"/>
    <n v="10948"/>
    <x v="1"/>
    <x v="52"/>
    <x v="2"/>
    <x v="2"/>
    <s v="ALERT"/>
  </r>
  <r>
    <s v="CASE054"/>
    <x v="53"/>
    <x v="3"/>
    <s v="Male"/>
    <s v="Cyber Crime"/>
    <n v="300000"/>
    <n v="300000"/>
    <x v="0"/>
    <x v="53"/>
    <x v="2"/>
    <x v="2"/>
    <s v="ALERT"/>
  </r>
  <r>
    <s v="CASE055"/>
    <x v="54"/>
    <x v="1"/>
    <s v="Female"/>
    <s v="Human Trafficking"/>
    <n v="200000"/>
    <n v="200000"/>
    <x v="0"/>
    <x v="54"/>
    <x v="2"/>
    <x v="2"/>
    <s v="ALERT"/>
  </r>
  <r>
    <s v="CASE056"/>
    <x v="55"/>
    <x v="5"/>
    <s v="Female"/>
    <s v="Domestic Violence"/>
    <n v="150000"/>
    <n v="150000"/>
    <x v="0"/>
    <x v="55"/>
    <x v="2"/>
    <x v="2"/>
    <s v="ALERT"/>
  </r>
  <r>
    <s v="CASE057"/>
    <x v="56"/>
    <x v="0"/>
    <s v="Female"/>
    <s v="Domestic Violence"/>
    <n v="150000"/>
    <n v="123691"/>
    <x v="1"/>
    <x v="56"/>
    <x v="2"/>
    <x v="2"/>
    <s v="ALERT"/>
  </r>
  <r>
    <s v="CASE058"/>
    <x v="57"/>
    <x v="5"/>
    <s v="Female"/>
    <s v="Child Abuse"/>
    <n v="100000"/>
    <n v="100000"/>
    <x v="0"/>
    <x v="57"/>
    <x v="2"/>
    <x v="2"/>
    <s v="ALERT"/>
  </r>
  <r>
    <s v="CASE059"/>
    <x v="58"/>
    <x v="5"/>
    <s v="Female"/>
    <s v="Cyber Crime"/>
    <n v="50000"/>
    <n v="50000"/>
    <x v="0"/>
    <x v="58"/>
    <x v="2"/>
    <x v="2"/>
    <s v="ALERT"/>
  </r>
  <r>
    <s v="CASE060"/>
    <x v="59"/>
    <x v="2"/>
    <s v="Male"/>
    <s v="Fraud"/>
    <n v="300000"/>
    <n v="300000"/>
    <x v="0"/>
    <x v="59"/>
    <x v="2"/>
    <x v="2"/>
    <s v="ALERT"/>
  </r>
  <r>
    <s v="CASE061"/>
    <x v="60"/>
    <x v="3"/>
    <s v="Female"/>
    <s v="Cyber Crime"/>
    <n v="300000"/>
    <n v="300000"/>
    <x v="0"/>
    <x v="60"/>
    <x v="2"/>
    <x v="2"/>
    <s v="ALERT"/>
  </r>
  <r>
    <s v="CASE062"/>
    <x v="61"/>
    <x v="3"/>
    <s v="Female"/>
    <s v="Assault"/>
    <n v="75000"/>
    <n v="8805"/>
    <x v="1"/>
    <x v="61"/>
    <x v="2"/>
    <x v="2"/>
    <s v="ALERT"/>
  </r>
  <r>
    <s v="CASE063"/>
    <x v="62"/>
    <x v="1"/>
    <s v="Female"/>
    <s v="Fraud"/>
    <n v="100000"/>
    <n v="10613"/>
    <x v="1"/>
    <x v="62"/>
    <x v="2"/>
    <x v="2"/>
    <s v="ALERT"/>
  </r>
  <r>
    <s v="CASE064"/>
    <x v="63"/>
    <x v="4"/>
    <s v="Female"/>
    <s v="Assault"/>
    <n v="200000"/>
    <n v="131923"/>
    <x v="1"/>
    <x v="63"/>
    <x v="2"/>
    <x v="2"/>
    <s v="ALERT"/>
  </r>
  <r>
    <s v="CASE065"/>
    <x v="64"/>
    <x v="5"/>
    <s v="Female"/>
    <s v="Assault"/>
    <n v="50000"/>
    <n v="50000"/>
    <x v="0"/>
    <x v="64"/>
    <x v="2"/>
    <x v="2"/>
    <s v="ALERT"/>
  </r>
  <r>
    <s v="CASE066"/>
    <x v="65"/>
    <x v="0"/>
    <s v="Female"/>
    <s v="Child Abuse"/>
    <n v="200000"/>
    <n v="170656"/>
    <x v="1"/>
    <x v="65"/>
    <x v="2"/>
    <x v="2"/>
    <s v="ALERT"/>
  </r>
  <r>
    <s v="CASE067"/>
    <x v="66"/>
    <x v="5"/>
    <s v="Male"/>
    <s v="Cyber Crime"/>
    <n v="50000"/>
    <n v="5705"/>
    <x v="1"/>
    <x v="66"/>
    <x v="2"/>
    <x v="2"/>
    <s v="ALERT"/>
  </r>
  <r>
    <s v="CASE068"/>
    <x v="67"/>
    <x v="5"/>
    <s v="Male"/>
    <s v="Cyber Crime"/>
    <n v="50000"/>
    <n v="50000"/>
    <x v="0"/>
    <x v="67"/>
    <x v="2"/>
    <x v="2"/>
    <s v="ALERT"/>
  </r>
  <r>
    <s v="CASE069"/>
    <x v="68"/>
    <x v="0"/>
    <s v="Female"/>
    <s v="Human Trafficking"/>
    <n v="100000"/>
    <n v="78528"/>
    <x v="1"/>
    <x v="68"/>
    <x v="2"/>
    <x v="2"/>
    <s v="ALERT"/>
  </r>
  <r>
    <s v="CASE070"/>
    <x v="69"/>
    <x v="5"/>
    <s v="Male"/>
    <s v="Domestic Violence"/>
    <n v="100000"/>
    <n v="100000"/>
    <x v="0"/>
    <x v="69"/>
    <x v="2"/>
    <x v="2"/>
    <s v="ALERT"/>
  </r>
  <r>
    <s v="CASE071"/>
    <x v="2"/>
    <x v="4"/>
    <s v="Male"/>
    <s v="Fraud"/>
    <n v="50000"/>
    <n v="6928"/>
    <x v="1"/>
    <x v="2"/>
    <x v="2"/>
    <x v="2"/>
    <s v="ALERT"/>
  </r>
  <r>
    <s v="CASE072"/>
    <x v="70"/>
    <x v="3"/>
    <s v="Female"/>
    <s v="Cyber Crime"/>
    <n v="200000"/>
    <n v="200000"/>
    <x v="0"/>
    <x v="70"/>
    <x v="2"/>
    <x v="2"/>
    <s v="ALERT"/>
  </r>
  <r>
    <s v="CASE073"/>
    <x v="71"/>
    <x v="3"/>
    <s v="Male"/>
    <s v="Fraud"/>
    <n v="50000"/>
    <n v="50000"/>
    <x v="0"/>
    <x v="71"/>
    <x v="2"/>
    <x v="2"/>
    <s v="ALERT"/>
  </r>
  <r>
    <s v="CASE074"/>
    <x v="72"/>
    <x v="3"/>
    <s v="Female"/>
    <s v="Domestic Violence"/>
    <n v="100000"/>
    <n v="93652"/>
    <x v="1"/>
    <x v="72"/>
    <x v="2"/>
    <x v="2"/>
    <s v="ALERT"/>
  </r>
  <r>
    <s v="CASE075"/>
    <x v="73"/>
    <x v="2"/>
    <s v="Female"/>
    <s v="Domestic Violence"/>
    <n v="150000"/>
    <n v="150000"/>
    <x v="0"/>
    <x v="73"/>
    <x v="2"/>
    <x v="2"/>
    <s v="ALERT"/>
  </r>
  <r>
    <s v="CASE076"/>
    <x v="74"/>
    <x v="3"/>
    <s v="Male"/>
    <s v="Fraud"/>
    <n v="200000"/>
    <n v="166415"/>
    <x v="1"/>
    <x v="74"/>
    <x v="2"/>
    <x v="2"/>
    <s v="ALERT"/>
  </r>
  <r>
    <s v="CASE077"/>
    <x v="75"/>
    <x v="5"/>
    <s v="Female"/>
    <s v="Assault"/>
    <n v="100000"/>
    <n v="100000"/>
    <x v="0"/>
    <x v="75"/>
    <x v="2"/>
    <x v="2"/>
    <s v="ALERT"/>
  </r>
  <r>
    <s v="CASE078"/>
    <x v="76"/>
    <x v="1"/>
    <s v="Female"/>
    <s v="Domestic Violence"/>
    <n v="100000"/>
    <n v="100000"/>
    <x v="0"/>
    <x v="76"/>
    <x v="2"/>
    <x v="2"/>
    <s v="ALERT"/>
  </r>
  <r>
    <s v="CASE079"/>
    <x v="77"/>
    <x v="2"/>
    <s v="Female"/>
    <s v="Assault"/>
    <n v="100000"/>
    <n v="100000"/>
    <x v="0"/>
    <x v="77"/>
    <x v="2"/>
    <x v="2"/>
    <s v="ALERT"/>
  </r>
  <r>
    <s v="CASE080"/>
    <x v="78"/>
    <x v="2"/>
    <s v="Female"/>
    <s v="Cyber Crime"/>
    <n v="100000"/>
    <n v="100000"/>
    <x v="0"/>
    <x v="78"/>
    <x v="2"/>
    <x v="2"/>
    <s v="ALERT"/>
  </r>
  <r>
    <s v="CASE081"/>
    <x v="79"/>
    <x v="0"/>
    <s v="Male"/>
    <s v="Human Trafficking"/>
    <n v="300000"/>
    <n v="43586"/>
    <x v="1"/>
    <x v="79"/>
    <x v="2"/>
    <x v="2"/>
    <s v="ALERT"/>
  </r>
  <r>
    <s v="CASE082"/>
    <x v="80"/>
    <x v="0"/>
    <s v="Female"/>
    <s v="Domestic Violence"/>
    <n v="100000"/>
    <n v="100000"/>
    <x v="0"/>
    <x v="80"/>
    <x v="2"/>
    <x v="2"/>
    <s v="ALERT"/>
  </r>
  <r>
    <s v="CASE083"/>
    <x v="81"/>
    <x v="5"/>
    <s v="Female"/>
    <s v="Child Abuse"/>
    <n v="200000"/>
    <n v="115118"/>
    <x v="1"/>
    <x v="81"/>
    <x v="2"/>
    <x v="2"/>
    <s v="ALERT"/>
  </r>
  <r>
    <s v="CASE084"/>
    <x v="82"/>
    <x v="4"/>
    <s v="Female"/>
    <s v="Human Trafficking"/>
    <n v="75000"/>
    <n v="75000"/>
    <x v="0"/>
    <x v="82"/>
    <x v="2"/>
    <x v="2"/>
    <s v="ALERT"/>
  </r>
  <r>
    <s v="CASE085"/>
    <x v="83"/>
    <x v="5"/>
    <s v="Female"/>
    <s v="Domestic Violence"/>
    <n v="300000"/>
    <n v="184065"/>
    <x v="1"/>
    <x v="83"/>
    <x v="2"/>
    <x v="2"/>
    <s v="ALERT"/>
  </r>
  <r>
    <s v="CASE086"/>
    <x v="84"/>
    <x v="4"/>
    <s v="Female"/>
    <s v="Cyber Crime"/>
    <n v="150000"/>
    <n v="150000"/>
    <x v="1"/>
    <x v="84"/>
    <x v="2"/>
    <x v="2"/>
    <s v="ALERT"/>
  </r>
  <r>
    <s v="CASE087"/>
    <x v="85"/>
    <x v="2"/>
    <s v="Female"/>
    <s v="Human Trafficking"/>
    <n v="200000"/>
    <n v="200000"/>
    <x v="0"/>
    <x v="85"/>
    <x v="2"/>
    <x v="2"/>
    <s v="ALERT"/>
  </r>
  <r>
    <s v="CASE088"/>
    <x v="86"/>
    <x v="0"/>
    <s v="Male"/>
    <s v="Fraud"/>
    <n v="50000"/>
    <n v="50000"/>
    <x v="0"/>
    <x v="86"/>
    <x v="2"/>
    <x v="2"/>
    <s v="ALERT"/>
  </r>
  <r>
    <s v="CASE089"/>
    <x v="87"/>
    <x v="1"/>
    <s v="Female"/>
    <s v="Fraud"/>
    <n v="150000"/>
    <n v="150000"/>
    <x v="0"/>
    <x v="87"/>
    <x v="2"/>
    <x v="2"/>
    <s v="ALERT"/>
  </r>
  <r>
    <s v="CASE090"/>
    <x v="88"/>
    <x v="5"/>
    <s v="Male"/>
    <s v="Child Abuse"/>
    <n v="75000"/>
    <n v="31567"/>
    <x v="1"/>
    <x v="88"/>
    <x v="2"/>
    <x v="2"/>
    <s v="ALERT"/>
  </r>
  <r>
    <s v="CASE091"/>
    <x v="89"/>
    <x v="3"/>
    <s v="Female"/>
    <s v="Domestic Violence"/>
    <n v="75000"/>
    <n v="45000"/>
    <x v="1"/>
    <x v="89"/>
    <x v="2"/>
    <x v="2"/>
    <s v="ALERT"/>
  </r>
  <r>
    <s v="CASE092"/>
    <x v="90"/>
    <x v="2"/>
    <s v="Female"/>
    <s v="Child Abuse"/>
    <n v="300000"/>
    <n v="199547"/>
    <x v="1"/>
    <x v="90"/>
    <x v="2"/>
    <x v="2"/>
    <s v="ALERT"/>
  </r>
  <r>
    <s v="CASE093"/>
    <x v="91"/>
    <x v="3"/>
    <s v="Male"/>
    <s v="Cyber Crime"/>
    <n v="150000"/>
    <n v="150000"/>
    <x v="0"/>
    <x v="91"/>
    <x v="2"/>
    <x v="2"/>
    <s v="ALERT"/>
  </r>
  <r>
    <s v="CASE094"/>
    <x v="92"/>
    <x v="4"/>
    <s v="Female"/>
    <s v="Human Trafficking"/>
    <n v="75000"/>
    <n v="75000"/>
    <x v="0"/>
    <x v="92"/>
    <x v="2"/>
    <x v="2"/>
    <s v="ALERT"/>
  </r>
  <r>
    <s v="CASE095"/>
    <x v="93"/>
    <x v="5"/>
    <s v="Male"/>
    <s v="Domestic Violence"/>
    <n v="50000"/>
    <n v="25000"/>
    <x v="1"/>
    <x v="93"/>
    <x v="2"/>
    <x v="2"/>
    <s v="ALERT"/>
  </r>
  <r>
    <s v="CASE096"/>
    <x v="94"/>
    <x v="0"/>
    <s v="Male"/>
    <s v="Cyber Crime"/>
    <n v="150000"/>
    <n v="150000"/>
    <x v="0"/>
    <x v="94"/>
    <x v="2"/>
    <x v="2"/>
    <s v="ALERT"/>
  </r>
  <r>
    <s v="CASE097"/>
    <x v="95"/>
    <x v="5"/>
    <s v="Male"/>
    <s v="Child Abuse"/>
    <n v="200000"/>
    <n v="200000"/>
    <x v="0"/>
    <x v="95"/>
    <x v="2"/>
    <x v="2"/>
    <s v="ALERT"/>
  </r>
  <r>
    <s v="CASE098"/>
    <x v="96"/>
    <x v="0"/>
    <s v="Male"/>
    <s v="Fraud"/>
    <n v="150000"/>
    <n v="29896"/>
    <x v="1"/>
    <x v="96"/>
    <x v="2"/>
    <x v="2"/>
    <s v="ALERT"/>
  </r>
  <r>
    <s v="CASE099"/>
    <x v="97"/>
    <x v="3"/>
    <s v="Female"/>
    <s v="Assault"/>
    <n v="100000"/>
    <n v="66726"/>
    <x v="1"/>
    <x v="97"/>
    <x v="2"/>
    <x v="2"/>
    <s v="ALERT"/>
  </r>
  <r>
    <s v="CASE100"/>
    <x v="98"/>
    <x v="2"/>
    <s v="Male"/>
    <s v="Cyber Crime"/>
    <n v="50000"/>
    <n v="50000"/>
    <x v="0"/>
    <x v="98"/>
    <x v="2"/>
    <x v="2"/>
    <s v="ALERT"/>
  </r>
  <r>
    <s v="CASE101"/>
    <x v="99"/>
    <x v="5"/>
    <s v="Male"/>
    <s v="Fraud"/>
    <n v="300000"/>
    <n v="300000"/>
    <x v="0"/>
    <x v="99"/>
    <x v="2"/>
    <x v="2"/>
    <s v="ALERT"/>
  </r>
  <r>
    <s v="CASE102"/>
    <x v="100"/>
    <x v="4"/>
    <s v="Female"/>
    <s v="Domestic Violence"/>
    <n v="100000"/>
    <n v="14442"/>
    <x v="1"/>
    <x v="100"/>
    <x v="2"/>
    <x v="2"/>
    <s v="ALERT"/>
  </r>
  <r>
    <s v="CASE103"/>
    <x v="101"/>
    <x v="1"/>
    <s v="Male"/>
    <s v="Cyber Crime"/>
    <n v="50000"/>
    <n v="16586"/>
    <x v="1"/>
    <x v="101"/>
    <x v="2"/>
    <x v="2"/>
    <s v="ALERT"/>
  </r>
  <r>
    <s v="CASE104"/>
    <x v="102"/>
    <x v="2"/>
    <s v="Male"/>
    <s v="Assault"/>
    <n v="200000"/>
    <n v="158773"/>
    <x v="1"/>
    <x v="102"/>
    <x v="2"/>
    <x v="1"/>
    <m/>
  </r>
  <r>
    <s v="CASE105"/>
    <x v="103"/>
    <x v="0"/>
    <s v="Female"/>
    <s v="Cyber Crime"/>
    <n v="75000"/>
    <n v="75000"/>
    <x v="0"/>
    <x v="103"/>
    <x v="2"/>
    <x v="1"/>
    <m/>
  </r>
  <r>
    <s v="CASE106"/>
    <x v="104"/>
    <x v="0"/>
    <s v="Female"/>
    <s v="Domestic Violence"/>
    <n v="75000"/>
    <n v="75000"/>
    <x v="0"/>
    <x v="104"/>
    <x v="2"/>
    <x v="1"/>
    <m/>
  </r>
  <r>
    <s v="CASE107"/>
    <x v="105"/>
    <x v="0"/>
    <s v="Female"/>
    <s v="Fraud"/>
    <n v="50000"/>
    <n v="50000"/>
    <x v="0"/>
    <x v="105"/>
    <x v="2"/>
    <x v="1"/>
    <m/>
  </r>
  <r>
    <s v="CASE108"/>
    <x v="106"/>
    <x v="2"/>
    <s v="Female"/>
    <s v="Domestic Violence"/>
    <n v="50000"/>
    <n v="50000"/>
    <x v="0"/>
    <x v="106"/>
    <x v="2"/>
    <x v="1"/>
    <m/>
  </r>
  <r>
    <s v="CASE109"/>
    <x v="107"/>
    <x v="2"/>
    <s v="Male"/>
    <s v="Child Abuse"/>
    <n v="50000"/>
    <n v="50000"/>
    <x v="0"/>
    <x v="107"/>
    <x v="2"/>
    <x v="1"/>
    <m/>
  </r>
  <r>
    <s v="CASE110"/>
    <x v="108"/>
    <x v="1"/>
    <s v="Male"/>
    <s v="Domestic Violence"/>
    <n v="100000"/>
    <n v="11929"/>
    <x v="1"/>
    <x v="108"/>
    <x v="2"/>
    <x v="1"/>
    <m/>
  </r>
  <r>
    <s v="CASE111"/>
    <x v="109"/>
    <x v="4"/>
    <s v="Female"/>
    <s v="Assault"/>
    <n v="150000"/>
    <n v="135400"/>
    <x v="1"/>
    <x v="109"/>
    <x v="2"/>
    <x v="1"/>
    <m/>
  </r>
  <r>
    <s v="CASE112"/>
    <x v="110"/>
    <x v="2"/>
    <s v="Male"/>
    <s v="Human Trafficking"/>
    <n v="150000"/>
    <n v="150000"/>
    <x v="0"/>
    <x v="110"/>
    <x v="2"/>
    <x v="1"/>
    <m/>
  </r>
  <r>
    <s v="CASE113"/>
    <x v="111"/>
    <x v="0"/>
    <s v="Male"/>
    <s v="Child Abuse"/>
    <n v="300000"/>
    <n v="145582"/>
    <x v="1"/>
    <x v="111"/>
    <x v="2"/>
    <x v="1"/>
    <m/>
  </r>
  <r>
    <s v="CASE114"/>
    <x v="112"/>
    <x v="2"/>
    <s v="Female"/>
    <s v="Assault"/>
    <n v="150000"/>
    <n v="150000"/>
    <x v="0"/>
    <x v="112"/>
    <x v="2"/>
    <x v="1"/>
    <m/>
  </r>
  <r>
    <s v="CASE115"/>
    <x v="113"/>
    <x v="3"/>
    <s v="Female"/>
    <s v="Child Abuse"/>
    <n v="200000"/>
    <n v="200000"/>
    <x v="0"/>
    <x v="113"/>
    <x v="2"/>
    <x v="1"/>
    <m/>
  </r>
  <r>
    <s v="CASE116"/>
    <x v="114"/>
    <x v="5"/>
    <s v="Female"/>
    <s v="Child Abuse"/>
    <n v="200000"/>
    <n v="200000"/>
    <x v="0"/>
    <x v="114"/>
    <x v="2"/>
    <x v="1"/>
    <m/>
  </r>
  <r>
    <s v="CASE117"/>
    <x v="115"/>
    <x v="0"/>
    <s v="Male"/>
    <s v="Human Trafficking"/>
    <n v="50000"/>
    <n v="7053"/>
    <x v="1"/>
    <x v="115"/>
    <x v="2"/>
    <x v="1"/>
    <m/>
  </r>
  <r>
    <s v="CASE118"/>
    <x v="116"/>
    <x v="0"/>
    <s v="Female"/>
    <s v="Human Trafficking"/>
    <n v="50000"/>
    <n v="50000"/>
    <x v="0"/>
    <x v="116"/>
    <x v="2"/>
    <x v="1"/>
    <m/>
  </r>
  <r>
    <s v="CASE119"/>
    <x v="117"/>
    <x v="2"/>
    <s v="Male"/>
    <s v="Human Trafficking"/>
    <n v="150000"/>
    <n v="130771"/>
    <x v="1"/>
    <x v="117"/>
    <x v="2"/>
    <x v="1"/>
    <m/>
  </r>
  <r>
    <s v="CASE120"/>
    <x v="118"/>
    <x v="0"/>
    <s v="Male"/>
    <s v="Domestic Violence"/>
    <n v="50000"/>
    <n v="28497"/>
    <x v="1"/>
    <x v="118"/>
    <x v="2"/>
    <x v="1"/>
    <m/>
  </r>
  <r>
    <m/>
    <x v="119"/>
    <x v="6"/>
    <m/>
    <m/>
    <m/>
    <m/>
    <x v="2"/>
    <x v="119"/>
    <x v="3"/>
    <x v="3"/>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0">
  <r>
    <s v="CASE001"/>
    <x v="0"/>
    <x v="0"/>
    <x v="0"/>
    <x v="0"/>
    <n v="150000"/>
    <n v="150000"/>
    <x v="0"/>
    <n v="33"/>
    <x v="0"/>
    <x v="0"/>
    <m/>
  </r>
  <r>
    <s v="CASE002"/>
    <x v="1"/>
    <x v="1"/>
    <x v="1"/>
    <x v="0"/>
    <n v="100000"/>
    <n v="100000"/>
    <x v="0"/>
    <n v="228"/>
    <x v="1"/>
    <x v="1"/>
    <m/>
  </r>
  <r>
    <s v="CASE003"/>
    <x v="2"/>
    <x v="0"/>
    <x v="0"/>
    <x v="1"/>
    <n v="300000"/>
    <n v="168661"/>
    <x v="1"/>
    <n v="383"/>
    <x v="2"/>
    <x v="2"/>
    <s v="ALERT"/>
  </r>
  <r>
    <s v="CASE004"/>
    <x v="3"/>
    <x v="1"/>
    <x v="0"/>
    <x v="1"/>
    <n v="100000"/>
    <n v="71075"/>
    <x v="1"/>
    <n v="248"/>
    <x v="1"/>
    <x v="1"/>
    <m/>
  </r>
  <r>
    <s v="CASE005"/>
    <x v="4"/>
    <x v="0"/>
    <x v="0"/>
    <x v="2"/>
    <n v="150000"/>
    <n v="150000"/>
    <x v="0"/>
    <n v="84"/>
    <x v="0"/>
    <x v="0"/>
    <m/>
  </r>
  <r>
    <s v="CASE006"/>
    <x v="5"/>
    <x v="2"/>
    <x v="1"/>
    <x v="3"/>
    <n v="150000"/>
    <n v="16848"/>
    <x v="1"/>
    <n v="83"/>
    <x v="0"/>
    <x v="0"/>
    <m/>
  </r>
  <r>
    <s v="CASE007"/>
    <x v="6"/>
    <x v="3"/>
    <x v="0"/>
    <x v="4"/>
    <n v="300000"/>
    <n v="300000"/>
    <x v="0"/>
    <n v="82"/>
    <x v="0"/>
    <x v="0"/>
    <m/>
  </r>
  <r>
    <s v="CASE008"/>
    <x v="7"/>
    <x v="4"/>
    <x v="0"/>
    <x v="3"/>
    <n v="100000"/>
    <n v="100000"/>
    <x v="0"/>
    <n v="81"/>
    <x v="0"/>
    <x v="0"/>
    <m/>
  </r>
  <r>
    <s v="CASE009"/>
    <x v="8"/>
    <x v="5"/>
    <x v="0"/>
    <x v="0"/>
    <n v="50000"/>
    <n v="24090"/>
    <x v="1"/>
    <n v="80"/>
    <x v="0"/>
    <x v="0"/>
    <m/>
  </r>
  <r>
    <s v="CASE010"/>
    <x v="9"/>
    <x v="2"/>
    <x v="1"/>
    <x v="0"/>
    <n v="100000"/>
    <n v="100000"/>
    <x v="0"/>
    <n v="79"/>
    <x v="0"/>
    <x v="0"/>
    <m/>
  </r>
  <r>
    <s v="CASE011"/>
    <x v="10"/>
    <x v="4"/>
    <x v="1"/>
    <x v="3"/>
    <n v="300000"/>
    <n v="89797"/>
    <x v="1"/>
    <n v="78"/>
    <x v="0"/>
    <x v="0"/>
    <m/>
  </r>
  <r>
    <s v="CASE012"/>
    <x v="11"/>
    <x v="2"/>
    <x v="0"/>
    <x v="4"/>
    <n v="200000"/>
    <n v="200000"/>
    <x v="0"/>
    <n v="77"/>
    <x v="0"/>
    <x v="0"/>
    <m/>
  </r>
  <r>
    <s v="CASE013"/>
    <x v="12"/>
    <x v="5"/>
    <x v="0"/>
    <x v="4"/>
    <n v="75000"/>
    <n v="17224"/>
    <x v="1"/>
    <n v="76"/>
    <x v="0"/>
    <x v="0"/>
    <m/>
  </r>
  <r>
    <s v="CASE014"/>
    <x v="13"/>
    <x v="1"/>
    <x v="0"/>
    <x v="0"/>
    <n v="50000"/>
    <n v="50000"/>
    <x v="0"/>
    <n v="75"/>
    <x v="0"/>
    <x v="0"/>
    <m/>
  </r>
  <r>
    <s v="CASE015"/>
    <x v="14"/>
    <x v="4"/>
    <x v="1"/>
    <x v="3"/>
    <n v="100000"/>
    <n v="50668"/>
    <x v="1"/>
    <n v="74"/>
    <x v="0"/>
    <x v="0"/>
    <m/>
  </r>
  <r>
    <s v="CASE016"/>
    <x v="15"/>
    <x v="2"/>
    <x v="1"/>
    <x v="3"/>
    <n v="75000"/>
    <n v="8217"/>
    <x v="1"/>
    <n v="73"/>
    <x v="0"/>
    <x v="0"/>
    <m/>
  </r>
  <r>
    <s v="CASE017"/>
    <x v="16"/>
    <x v="4"/>
    <x v="1"/>
    <x v="4"/>
    <n v="200000"/>
    <n v="88539"/>
    <x v="1"/>
    <n v="72"/>
    <x v="0"/>
    <x v="0"/>
    <m/>
  </r>
  <r>
    <s v="CASE018"/>
    <x v="17"/>
    <x v="4"/>
    <x v="0"/>
    <x v="5"/>
    <n v="150000"/>
    <n v="150000"/>
    <x v="0"/>
    <n v="71"/>
    <x v="0"/>
    <x v="0"/>
    <m/>
  </r>
  <r>
    <s v="CASE019"/>
    <x v="18"/>
    <x v="5"/>
    <x v="0"/>
    <x v="1"/>
    <n v="200000"/>
    <n v="200000"/>
    <x v="0"/>
    <n v="70"/>
    <x v="0"/>
    <x v="0"/>
    <m/>
  </r>
  <r>
    <s v="CASE020"/>
    <x v="19"/>
    <x v="4"/>
    <x v="1"/>
    <x v="1"/>
    <n v="100000"/>
    <n v="93853"/>
    <x v="1"/>
    <n v="69"/>
    <x v="0"/>
    <x v="0"/>
    <m/>
  </r>
  <r>
    <s v="CASE021"/>
    <x v="20"/>
    <x v="5"/>
    <x v="0"/>
    <x v="4"/>
    <n v="300000"/>
    <n v="84627"/>
    <x v="1"/>
    <n v="68"/>
    <x v="0"/>
    <x v="0"/>
    <m/>
  </r>
  <r>
    <s v="CASE022"/>
    <x v="21"/>
    <x v="1"/>
    <x v="0"/>
    <x v="5"/>
    <n v="300000"/>
    <n v="90197"/>
    <x v="1"/>
    <n v="67"/>
    <x v="0"/>
    <x v="0"/>
    <m/>
  </r>
  <r>
    <s v="CASE023"/>
    <x v="22"/>
    <x v="5"/>
    <x v="1"/>
    <x v="2"/>
    <n v="75000"/>
    <n v="75000"/>
    <x v="0"/>
    <n v="66"/>
    <x v="0"/>
    <x v="0"/>
    <m/>
  </r>
  <r>
    <s v="CASE024"/>
    <x v="23"/>
    <x v="3"/>
    <x v="1"/>
    <x v="5"/>
    <n v="150000"/>
    <n v="150000"/>
    <x v="0"/>
    <n v="65"/>
    <x v="0"/>
    <x v="0"/>
    <m/>
  </r>
  <r>
    <s v="CASE025"/>
    <x v="24"/>
    <x v="5"/>
    <x v="1"/>
    <x v="2"/>
    <n v="150000"/>
    <n v="25272"/>
    <x v="1"/>
    <n v="64"/>
    <x v="0"/>
    <x v="0"/>
    <m/>
  </r>
  <r>
    <s v="CASE026"/>
    <x v="25"/>
    <x v="0"/>
    <x v="0"/>
    <x v="1"/>
    <n v="75000"/>
    <n v="45000"/>
    <x v="1"/>
    <n v="63"/>
    <x v="0"/>
    <x v="0"/>
    <m/>
  </r>
  <r>
    <s v="CASE027"/>
    <x v="26"/>
    <x v="5"/>
    <x v="0"/>
    <x v="2"/>
    <n v="75000"/>
    <n v="75000"/>
    <x v="0"/>
    <n v="62"/>
    <x v="0"/>
    <x v="0"/>
    <m/>
  </r>
  <r>
    <s v="CASE028"/>
    <x v="27"/>
    <x v="3"/>
    <x v="0"/>
    <x v="0"/>
    <n v="300000"/>
    <n v="300000"/>
    <x v="0"/>
    <n v="61"/>
    <x v="0"/>
    <x v="0"/>
    <m/>
  </r>
  <r>
    <s v="CASE029"/>
    <x v="28"/>
    <x v="3"/>
    <x v="1"/>
    <x v="3"/>
    <n v="50000"/>
    <n v="5854"/>
    <x v="1"/>
    <n v="60"/>
    <x v="0"/>
    <x v="0"/>
    <m/>
  </r>
  <r>
    <s v="CASE030"/>
    <x v="29"/>
    <x v="2"/>
    <x v="1"/>
    <x v="1"/>
    <n v="75000"/>
    <n v="43184"/>
    <x v="1"/>
    <n v="59"/>
    <x v="0"/>
    <x v="0"/>
    <m/>
  </r>
  <r>
    <s v="CASE031"/>
    <x v="30"/>
    <x v="1"/>
    <x v="1"/>
    <x v="1"/>
    <n v="50000"/>
    <n v="50000"/>
    <x v="0"/>
    <n v="58"/>
    <x v="0"/>
    <x v="0"/>
    <m/>
  </r>
  <r>
    <s v="CASE032"/>
    <x v="31"/>
    <x v="4"/>
    <x v="0"/>
    <x v="5"/>
    <n v="150000"/>
    <n v="192486"/>
    <x v="0"/>
    <n v="57"/>
    <x v="0"/>
    <x v="0"/>
    <m/>
  </r>
  <r>
    <s v="CASE033"/>
    <x v="32"/>
    <x v="5"/>
    <x v="0"/>
    <x v="4"/>
    <n v="75000"/>
    <n v="35000"/>
    <x v="1"/>
    <n v="56"/>
    <x v="0"/>
    <x v="0"/>
    <m/>
  </r>
  <r>
    <s v="CASE034"/>
    <x v="33"/>
    <x v="2"/>
    <x v="0"/>
    <x v="1"/>
    <n v="300000"/>
    <n v="62741"/>
    <x v="1"/>
    <n v="55"/>
    <x v="0"/>
    <x v="0"/>
    <m/>
  </r>
  <r>
    <s v="CASE035"/>
    <x v="34"/>
    <x v="4"/>
    <x v="1"/>
    <x v="4"/>
    <n v="50000"/>
    <n v="50000"/>
    <x v="0"/>
    <n v="54"/>
    <x v="0"/>
    <x v="0"/>
    <m/>
  </r>
  <r>
    <s v="CASE036"/>
    <x v="35"/>
    <x v="4"/>
    <x v="1"/>
    <x v="3"/>
    <n v="200000"/>
    <n v="200000"/>
    <x v="0"/>
    <n v="53"/>
    <x v="0"/>
    <x v="0"/>
    <m/>
  </r>
  <r>
    <s v="CASE037"/>
    <x v="36"/>
    <x v="4"/>
    <x v="1"/>
    <x v="0"/>
    <n v="200000"/>
    <n v="50544"/>
    <x v="1"/>
    <n v="52"/>
    <x v="0"/>
    <x v="0"/>
    <m/>
  </r>
  <r>
    <s v="CASE038"/>
    <x v="37"/>
    <x v="5"/>
    <x v="1"/>
    <x v="5"/>
    <n v="50000"/>
    <n v="50000"/>
    <x v="0"/>
    <n v="51"/>
    <x v="0"/>
    <x v="0"/>
    <m/>
  </r>
  <r>
    <s v="CASE039"/>
    <x v="38"/>
    <x v="5"/>
    <x v="0"/>
    <x v="3"/>
    <n v="200000"/>
    <n v="200000"/>
    <x v="0"/>
    <n v="415"/>
    <x v="2"/>
    <x v="2"/>
    <s v="ALERT"/>
  </r>
  <r>
    <s v="CASE040"/>
    <x v="39"/>
    <x v="0"/>
    <x v="0"/>
    <x v="4"/>
    <n v="200000"/>
    <n v="200000"/>
    <x v="0"/>
    <n v="414"/>
    <x v="2"/>
    <x v="2"/>
    <s v="ALERT"/>
  </r>
  <r>
    <s v="CASE041"/>
    <x v="40"/>
    <x v="1"/>
    <x v="1"/>
    <x v="4"/>
    <n v="300000"/>
    <n v="41830"/>
    <x v="1"/>
    <n v="413"/>
    <x v="2"/>
    <x v="2"/>
    <s v="ALERT"/>
  </r>
  <r>
    <s v="CASE042"/>
    <x v="41"/>
    <x v="3"/>
    <x v="1"/>
    <x v="2"/>
    <n v="50000"/>
    <n v="6232"/>
    <x v="1"/>
    <n v="412"/>
    <x v="2"/>
    <x v="2"/>
    <s v="ALERT"/>
  </r>
  <r>
    <s v="CASE043"/>
    <x v="42"/>
    <x v="4"/>
    <x v="0"/>
    <x v="3"/>
    <n v="150000"/>
    <n v="90487"/>
    <x v="1"/>
    <n v="411"/>
    <x v="2"/>
    <x v="2"/>
    <s v="ALERT"/>
  </r>
  <r>
    <s v="CASE044"/>
    <x v="43"/>
    <x v="2"/>
    <x v="1"/>
    <x v="5"/>
    <n v="75000"/>
    <n v="75000"/>
    <x v="0"/>
    <n v="410"/>
    <x v="2"/>
    <x v="2"/>
    <s v="ALERT"/>
  </r>
  <r>
    <s v="CASE045"/>
    <x v="44"/>
    <x v="5"/>
    <x v="1"/>
    <x v="5"/>
    <n v="150000"/>
    <n v="150000"/>
    <x v="0"/>
    <n v="409"/>
    <x v="2"/>
    <x v="2"/>
    <s v="ALERT"/>
  </r>
  <r>
    <s v="CASE046"/>
    <x v="45"/>
    <x v="1"/>
    <x v="1"/>
    <x v="0"/>
    <n v="200000"/>
    <n v="200000"/>
    <x v="0"/>
    <n v="408"/>
    <x v="2"/>
    <x v="2"/>
    <s v="ALERT"/>
  </r>
  <r>
    <s v="CASE047"/>
    <x v="46"/>
    <x v="2"/>
    <x v="0"/>
    <x v="3"/>
    <n v="300000"/>
    <n v="71815"/>
    <x v="1"/>
    <n v="407"/>
    <x v="2"/>
    <x v="2"/>
    <s v="ALERT"/>
  </r>
  <r>
    <s v="CASE048"/>
    <x v="47"/>
    <x v="0"/>
    <x v="0"/>
    <x v="3"/>
    <n v="200000"/>
    <n v="61468"/>
    <x v="1"/>
    <n v="406"/>
    <x v="2"/>
    <x v="2"/>
    <s v="ALERT"/>
  </r>
  <r>
    <s v="CASE049"/>
    <x v="48"/>
    <x v="3"/>
    <x v="0"/>
    <x v="1"/>
    <n v="300000"/>
    <n v="110426"/>
    <x v="1"/>
    <n v="405"/>
    <x v="2"/>
    <x v="2"/>
    <s v="ALERT"/>
  </r>
  <r>
    <s v="CASE050"/>
    <x v="49"/>
    <x v="0"/>
    <x v="0"/>
    <x v="0"/>
    <n v="100000"/>
    <n v="100000"/>
    <x v="0"/>
    <n v="404"/>
    <x v="2"/>
    <x v="2"/>
    <s v="ALERT"/>
  </r>
  <r>
    <s v="CASE051"/>
    <x v="50"/>
    <x v="5"/>
    <x v="1"/>
    <x v="0"/>
    <n v="50000"/>
    <n v="50000"/>
    <x v="0"/>
    <n v="403"/>
    <x v="2"/>
    <x v="2"/>
    <s v="ALERT"/>
  </r>
  <r>
    <s v="CASE052"/>
    <x v="51"/>
    <x v="3"/>
    <x v="0"/>
    <x v="1"/>
    <n v="100000"/>
    <n v="10194"/>
    <x v="1"/>
    <n v="402"/>
    <x v="2"/>
    <x v="2"/>
    <s v="ALERT"/>
  </r>
  <r>
    <s v="CASE053"/>
    <x v="52"/>
    <x v="4"/>
    <x v="0"/>
    <x v="2"/>
    <n v="50000"/>
    <n v="10948"/>
    <x v="1"/>
    <n v="401"/>
    <x v="2"/>
    <x v="2"/>
    <s v="ALERT"/>
  </r>
  <r>
    <s v="CASE054"/>
    <x v="53"/>
    <x v="3"/>
    <x v="1"/>
    <x v="1"/>
    <n v="300000"/>
    <n v="300000"/>
    <x v="0"/>
    <n v="400"/>
    <x v="2"/>
    <x v="2"/>
    <s v="ALERT"/>
  </r>
  <r>
    <s v="CASE055"/>
    <x v="54"/>
    <x v="1"/>
    <x v="0"/>
    <x v="2"/>
    <n v="200000"/>
    <n v="200000"/>
    <x v="0"/>
    <n v="399"/>
    <x v="2"/>
    <x v="2"/>
    <s v="ALERT"/>
  </r>
  <r>
    <s v="CASE056"/>
    <x v="55"/>
    <x v="5"/>
    <x v="0"/>
    <x v="0"/>
    <n v="150000"/>
    <n v="150000"/>
    <x v="0"/>
    <n v="398"/>
    <x v="2"/>
    <x v="2"/>
    <s v="ALERT"/>
  </r>
  <r>
    <s v="CASE057"/>
    <x v="56"/>
    <x v="0"/>
    <x v="0"/>
    <x v="0"/>
    <n v="150000"/>
    <n v="123691"/>
    <x v="1"/>
    <n v="397"/>
    <x v="2"/>
    <x v="2"/>
    <s v="ALERT"/>
  </r>
  <r>
    <s v="CASE058"/>
    <x v="57"/>
    <x v="5"/>
    <x v="0"/>
    <x v="3"/>
    <n v="100000"/>
    <n v="100000"/>
    <x v="0"/>
    <n v="396"/>
    <x v="2"/>
    <x v="2"/>
    <s v="ALERT"/>
  </r>
  <r>
    <s v="CASE059"/>
    <x v="58"/>
    <x v="5"/>
    <x v="0"/>
    <x v="1"/>
    <n v="50000"/>
    <n v="50000"/>
    <x v="0"/>
    <n v="395"/>
    <x v="2"/>
    <x v="2"/>
    <s v="ALERT"/>
  </r>
  <r>
    <s v="CASE060"/>
    <x v="59"/>
    <x v="2"/>
    <x v="1"/>
    <x v="4"/>
    <n v="300000"/>
    <n v="300000"/>
    <x v="0"/>
    <n v="394"/>
    <x v="2"/>
    <x v="2"/>
    <s v="ALERT"/>
  </r>
  <r>
    <s v="CASE061"/>
    <x v="60"/>
    <x v="3"/>
    <x v="0"/>
    <x v="1"/>
    <n v="300000"/>
    <n v="300000"/>
    <x v="0"/>
    <n v="393"/>
    <x v="2"/>
    <x v="2"/>
    <s v="ALERT"/>
  </r>
  <r>
    <s v="CASE062"/>
    <x v="61"/>
    <x v="3"/>
    <x v="0"/>
    <x v="5"/>
    <n v="75000"/>
    <n v="8805"/>
    <x v="1"/>
    <n v="392"/>
    <x v="2"/>
    <x v="2"/>
    <s v="ALERT"/>
  </r>
  <r>
    <s v="CASE063"/>
    <x v="62"/>
    <x v="1"/>
    <x v="0"/>
    <x v="4"/>
    <n v="100000"/>
    <n v="10613"/>
    <x v="1"/>
    <n v="391"/>
    <x v="2"/>
    <x v="2"/>
    <s v="ALERT"/>
  </r>
  <r>
    <s v="CASE064"/>
    <x v="63"/>
    <x v="4"/>
    <x v="0"/>
    <x v="5"/>
    <n v="200000"/>
    <n v="131923"/>
    <x v="1"/>
    <n v="390"/>
    <x v="2"/>
    <x v="2"/>
    <s v="ALERT"/>
  </r>
  <r>
    <s v="CASE065"/>
    <x v="64"/>
    <x v="5"/>
    <x v="0"/>
    <x v="5"/>
    <n v="50000"/>
    <n v="50000"/>
    <x v="0"/>
    <n v="389"/>
    <x v="2"/>
    <x v="2"/>
    <s v="ALERT"/>
  </r>
  <r>
    <s v="CASE066"/>
    <x v="65"/>
    <x v="0"/>
    <x v="0"/>
    <x v="3"/>
    <n v="200000"/>
    <n v="170656"/>
    <x v="1"/>
    <n v="388"/>
    <x v="2"/>
    <x v="2"/>
    <s v="ALERT"/>
  </r>
  <r>
    <s v="CASE067"/>
    <x v="66"/>
    <x v="5"/>
    <x v="1"/>
    <x v="1"/>
    <n v="50000"/>
    <n v="5705"/>
    <x v="1"/>
    <n v="387"/>
    <x v="2"/>
    <x v="2"/>
    <s v="ALERT"/>
  </r>
  <r>
    <s v="CASE068"/>
    <x v="67"/>
    <x v="5"/>
    <x v="1"/>
    <x v="1"/>
    <n v="50000"/>
    <n v="50000"/>
    <x v="0"/>
    <n v="386"/>
    <x v="2"/>
    <x v="2"/>
    <s v="ALERT"/>
  </r>
  <r>
    <s v="CASE069"/>
    <x v="68"/>
    <x v="0"/>
    <x v="0"/>
    <x v="2"/>
    <n v="100000"/>
    <n v="78528"/>
    <x v="1"/>
    <n v="385"/>
    <x v="2"/>
    <x v="2"/>
    <s v="ALERT"/>
  </r>
  <r>
    <s v="CASE070"/>
    <x v="69"/>
    <x v="5"/>
    <x v="1"/>
    <x v="0"/>
    <n v="100000"/>
    <n v="100000"/>
    <x v="0"/>
    <n v="384"/>
    <x v="2"/>
    <x v="2"/>
    <s v="ALERT"/>
  </r>
  <r>
    <s v="CASE071"/>
    <x v="2"/>
    <x v="4"/>
    <x v="1"/>
    <x v="4"/>
    <n v="50000"/>
    <n v="6928"/>
    <x v="1"/>
    <n v="383"/>
    <x v="2"/>
    <x v="2"/>
    <s v="ALERT"/>
  </r>
  <r>
    <s v="CASE072"/>
    <x v="70"/>
    <x v="3"/>
    <x v="0"/>
    <x v="1"/>
    <n v="200000"/>
    <n v="200000"/>
    <x v="0"/>
    <n v="382"/>
    <x v="2"/>
    <x v="2"/>
    <s v="ALERT"/>
  </r>
  <r>
    <s v="CASE073"/>
    <x v="71"/>
    <x v="3"/>
    <x v="1"/>
    <x v="4"/>
    <n v="50000"/>
    <n v="50000"/>
    <x v="0"/>
    <n v="381"/>
    <x v="2"/>
    <x v="2"/>
    <s v="ALERT"/>
  </r>
  <r>
    <s v="CASE074"/>
    <x v="72"/>
    <x v="3"/>
    <x v="0"/>
    <x v="0"/>
    <n v="100000"/>
    <n v="93652"/>
    <x v="1"/>
    <n v="380"/>
    <x v="2"/>
    <x v="2"/>
    <s v="ALERT"/>
  </r>
  <r>
    <s v="CASE075"/>
    <x v="73"/>
    <x v="2"/>
    <x v="0"/>
    <x v="0"/>
    <n v="150000"/>
    <n v="150000"/>
    <x v="0"/>
    <n v="379"/>
    <x v="2"/>
    <x v="2"/>
    <s v="ALERT"/>
  </r>
  <r>
    <s v="CASE076"/>
    <x v="74"/>
    <x v="3"/>
    <x v="1"/>
    <x v="4"/>
    <n v="200000"/>
    <n v="166415"/>
    <x v="1"/>
    <n v="378"/>
    <x v="2"/>
    <x v="2"/>
    <s v="ALERT"/>
  </r>
  <r>
    <s v="CASE077"/>
    <x v="75"/>
    <x v="5"/>
    <x v="0"/>
    <x v="5"/>
    <n v="100000"/>
    <n v="100000"/>
    <x v="0"/>
    <n v="377"/>
    <x v="2"/>
    <x v="2"/>
    <s v="ALERT"/>
  </r>
  <r>
    <s v="CASE078"/>
    <x v="76"/>
    <x v="1"/>
    <x v="0"/>
    <x v="0"/>
    <n v="100000"/>
    <n v="100000"/>
    <x v="0"/>
    <n v="376"/>
    <x v="2"/>
    <x v="2"/>
    <s v="ALERT"/>
  </r>
  <r>
    <s v="CASE079"/>
    <x v="77"/>
    <x v="2"/>
    <x v="0"/>
    <x v="5"/>
    <n v="100000"/>
    <n v="100000"/>
    <x v="0"/>
    <n v="375"/>
    <x v="2"/>
    <x v="2"/>
    <s v="ALERT"/>
  </r>
  <r>
    <s v="CASE080"/>
    <x v="78"/>
    <x v="2"/>
    <x v="0"/>
    <x v="1"/>
    <n v="100000"/>
    <n v="100000"/>
    <x v="0"/>
    <n v="374"/>
    <x v="2"/>
    <x v="2"/>
    <s v="ALERT"/>
  </r>
  <r>
    <s v="CASE081"/>
    <x v="79"/>
    <x v="0"/>
    <x v="1"/>
    <x v="2"/>
    <n v="300000"/>
    <n v="43586"/>
    <x v="1"/>
    <n v="373"/>
    <x v="2"/>
    <x v="2"/>
    <s v="ALERT"/>
  </r>
  <r>
    <s v="CASE082"/>
    <x v="80"/>
    <x v="0"/>
    <x v="0"/>
    <x v="0"/>
    <n v="100000"/>
    <n v="100000"/>
    <x v="0"/>
    <n v="372"/>
    <x v="2"/>
    <x v="2"/>
    <s v="ALERT"/>
  </r>
  <r>
    <s v="CASE083"/>
    <x v="81"/>
    <x v="5"/>
    <x v="0"/>
    <x v="3"/>
    <n v="200000"/>
    <n v="115118"/>
    <x v="1"/>
    <n v="371"/>
    <x v="2"/>
    <x v="2"/>
    <s v="ALERT"/>
  </r>
  <r>
    <s v="CASE084"/>
    <x v="82"/>
    <x v="4"/>
    <x v="0"/>
    <x v="2"/>
    <n v="75000"/>
    <n v="75000"/>
    <x v="0"/>
    <n v="370"/>
    <x v="2"/>
    <x v="2"/>
    <s v="ALERT"/>
  </r>
  <r>
    <s v="CASE085"/>
    <x v="83"/>
    <x v="5"/>
    <x v="0"/>
    <x v="0"/>
    <n v="300000"/>
    <n v="184065"/>
    <x v="1"/>
    <n v="369"/>
    <x v="2"/>
    <x v="2"/>
    <s v="ALERT"/>
  </r>
  <r>
    <s v="CASE086"/>
    <x v="84"/>
    <x v="4"/>
    <x v="0"/>
    <x v="1"/>
    <n v="150000"/>
    <n v="150000"/>
    <x v="1"/>
    <n v="368"/>
    <x v="2"/>
    <x v="2"/>
    <s v="ALERT"/>
  </r>
  <r>
    <s v="CASE087"/>
    <x v="85"/>
    <x v="2"/>
    <x v="0"/>
    <x v="2"/>
    <n v="200000"/>
    <n v="200000"/>
    <x v="0"/>
    <n v="367"/>
    <x v="2"/>
    <x v="2"/>
    <s v="ALERT"/>
  </r>
  <r>
    <s v="CASE088"/>
    <x v="86"/>
    <x v="0"/>
    <x v="1"/>
    <x v="4"/>
    <n v="50000"/>
    <n v="50000"/>
    <x v="0"/>
    <n v="366"/>
    <x v="2"/>
    <x v="2"/>
    <s v="ALERT"/>
  </r>
  <r>
    <s v="CASE089"/>
    <x v="87"/>
    <x v="1"/>
    <x v="0"/>
    <x v="4"/>
    <n v="150000"/>
    <n v="150000"/>
    <x v="0"/>
    <n v="365"/>
    <x v="2"/>
    <x v="2"/>
    <s v="ALERT"/>
  </r>
  <r>
    <s v="CASE090"/>
    <x v="88"/>
    <x v="5"/>
    <x v="1"/>
    <x v="3"/>
    <n v="75000"/>
    <n v="31567"/>
    <x v="1"/>
    <n v="364"/>
    <x v="2"/>
    <x v="2"/>
    <s v="ALERT"/>
  </r>
  <r>
    <s v="CASE091"/>
    <x v="89"/>
    <x v="3"/>
    <x v="0"/>
    <x v="0"/>
    <n v="75000"/>
    <n v="45000"/>
    <x v="1"/>
    <n v="363"/>
    <x v="2"/>
    <x v="2"/>
    <s v="ALERT"/>
  </r>
  <r>
    <s v="CASE092"/>
    <x v="90"/>
    <x v="2"/>
    <x v="0"/>
    <x v="3"/>
    <n v="300000"/>
    <n v="199547"/>
    <x v="1"/>
    <n v="362"/>
    <x v="2"/>
    <x v="2"/>
    <s v="ALERT"/>
  </r>
  <r>
    <s v="CASE093"/>
    <x v="91"/>
    <x v="3"/>
    <x v="1"/>
    <x v="1"/>
    <n v="150000"/>
    <n v="150000"/>
    <x v="0"/>
    <n v="361"/>
    <x v="2"/>
    <x v="2"/>
    <s v="ALERT"/>
  </r>
  <r>
    <s v="CASE094"/>
    <x v="92"/>
    <x v="4"/>
    <x v="0"/>
    <x v="2"/>
    <n v="75000"/>
    <n v="75000"/>
    <x v="0"/>
    <n v="360"/>
    <x v="2"/>
    <x v="2"/>
    <s v="ALERT"/>
  </r>
  <r>
    <s v="CASE095"/>
    <x v="93"/>
    <x v="5"/>
    <x v="1"/>
    <x v="0"/>
    <n v="50000"/>
    <n v="25000"/>
    <x v="1"/>
    <n v="359"/>
    <x v="2"/>
    <x v="2"/>
    <s v="ALERT"/>
  </r>
  <r>
    <s v="CASE096"/>
    <x v="94"/>
    <x v="0"/>
    <x v="1"/>
    <x v="1"/>
    <n v="150000"/>
    <n v="150000"/>
    <x v="0"/>
    <n v="358"/>
    <x v="2"/>
    <x v="2"/>
    <s v="ALERT"/>
  </r>
  <r>
    <s v="CASE097"/>
    <x v="95"/>
    <x v="5"/>
    <x v="1"/>
    <x v="3"/>
    <n v="200000"/>
    <n v="200000"/>
    <x v="0"/>
    <n v="357"/>
    <x v="2"/>
    <x v="2"/>
    <s v="ALERT"/>
  </r>
  <r>
    <s v="CASE098"/>
    <x v="96"/>
    <x v="0"/>
    <x v="1"/>
    <x v="4"/>
    <n v="150000"/>
    <n v="29896"/>
    <x v="1"/>
    <n v="356"/>
    <x v="2"/>
    <x v="2"/>
    <s v="ALERT"/>
  </r>
  <r>
    <s v="CASE099"/>
    <x v="97"/>
    <x v="3"/>
    <x v="0"/>
    <x v="5"/>
    <n v="100000"/>
    <n v="66726"/>
    <x v="1"/>
    <n v="355"/>
    <x v="2"/>
    <x v="2"/>
    <s v="ALERT"/>
  </r>
  <r>
    <s v="CASE100"/>
    <x v="98"/>
    <x v="2"/>
    <x v="1"/>
    <x v="1"/>
    <n v="50000"/>
    <n v="50000"/>
    <x v="0"/>
    <n v="354"/>
    <x v="2"/>
    <x v="2"/>
    <s v="ALERT"/>
  </r>
  <r>
    <s v="CASE101"/>
    <x v="99"/>
    <x v="5"/>
    <x v="1"/>
    <x v="4"/>
    <n v="300000"/>
    <n v="300000"/>
    <x v="0"/>
    <n v="353"/>
    <x v="2"/>
    <x v="2"/>
    <s v="ALERT"/>
  </r>
  <r>
    <s v="CASE102"/>
    <x v="100"/>
    <x v="4"/>
    <x v="0"/>
    <x v="0"/>
    <n v="100000"/>
    <n v="14442"/>
    <x v="1"/>
    <n v="352"/>
    <x v="2"/>
    <x v="2"/>
    <s v="ALERT"/>
  </r>
  <r>
    <s v="CASE103"/>
    <x v="101"/>
    <x v="1"/>
    <x v="1"/>
    <x v="1"/>
    <n v="50000"/>
    <n v="16586"/>
    <x v="1"/>
    <n v="351"/>
    <x v="2"/>
    <x v="2"/>
    <s v="ALERT"/>
  </r>
  <r>
    <s v="CASE104"/>
    <x v="102"/>
    <x v="2"/>
    <x v="1"/>
    <x v="5"/>
    <n v="200000"/>
    <n v="158773"/>
    <x v="1"/>
    <n v="350"/>
    <x v="2"/>
    <x v="1"/>
    <m/>
  </r>
  <r>
    <s v="CASE105"/>
    <x v="103"/>
    <x v="0"/>
    <x v="0"/>
    <x v="1"/>
    <n v="75000"/>
    <n v="75000"/>
    <x v="0"/>
    <n v="349"/>
    <x v="2"/>
    <x v="1"/>
    <m/>
  </r>
  <r>
    <s v="CASE106"/>
    <x v="104"/>
    <x v="0"/>
    <x v="0"/>
    <x v="0"/>
    <n v="75000"/>
    <n v="75000"/>
    <x v="0"/>
    <n v="348"/>
    <x v="2"/>
    <x v="1"/>
    <m/>
  </r>
  <r>
    <s v="CASE107"/>
    <x v="105"/>
    <x v="0"/>
    <x v="0"/>
    <x v="4"/>
    <n v="50000"/>
    <n v="50000"/>
    <x v="0"/>
    <n v="347"/>
    <x v="2"/>
    <x v="1"/>
    <m/>
  </r>
  <r>
    <s v="CASE108"/>
    <x v="106"/>
    <x v="2"/>
    <x v="0"/>
    <x v="0"/>
    <n v="50000"/>
    <n v="50000"/>
    <x v="0"/>
    <n v="346"/>
    <x v="2"/>
    <x v="1"/>
    <m/>
  </r>
  <r>
    <s v="CASE109"/>
    <x v="107"/>
    <x v="2"/>
    <x v="1"/>
    <x v="3"/>
    <n v="50000"/>
    <n v="50000"/>
    <x v="0"/>
    <n v="345"/>
    <x v="2"/>
    <x v="1"/>
    <m/>
  </r>
  <r>
    <s v="CASE110"/>
    <x v="108"/>
    <x v="1"/>
    <x v="1"/>
    <x v="0"/>
    <n v="100000"/>
    <n v="11929"/>
    <x v="1"/>
    <n v="344"/>
    <x v="2"/>
    <x v="1"/>
    <m/>
  </r>
  <r>
    <s v="CASE111"/>
    <x v="109"/>
    <x v="4"/>
    <x v="0"/>
    <x v="5"/>
    <n v="150000"/>
    <n v="135400"/>
    <x v="1"/>
    <n v="343"/>
    <x v="2"/>
    <x v="1"/>
    <m/>
  </r>
  <r>
    <s v="CASE112"/>
    <x v="110"/>
    <x v="2"/>
    <x v="1"/>
    <x v="2"/>
    <n v="150000"/>
    <n v="150000"/>
    <x v="0"/>
    <n v="342"/>
    <x v="2"/>
    <x v="1"/>
    <m/>
  </r>
  <r>
    <s v="CASE113"/>
    <x v="111"/>
    <x v="0"/>
    <x v="1"/>
    <x v="3"/>
    <n v="300000"/>
    <n v="145582"/>
    <x v="1"/>
    <n v="341"/>
    <x v="2"/>
    <x v="1"/>
    <m/>
  </r>
  <r>
    <s v="CASE114"/>
    <x v="112"/>
    <x v="2"/>
    <x v="0"/>
    <x v="5"/>
    <n v="150000"/>
    <n v="150000"/>
    <x v="0"/>
    <n v="340"/>
    <x v="2"/>
    <x v="1"/>
    <m/>
  </r>
  <r>
    <s v="CASE115"/>
    <x v="113"/>
    <x v="3"/>
    <x v="0"/>
    <x v="3"/>
    <n v="200000"/>
    <n v="200000"/>
    <x v="0"/>
    <n v="339"/>
    <x v="2"/>
    <x v="1"/>
    <m/>
  </r>
  <r>
    <s v="CASE116"/>
    <x v="114"/>
    <x v="5"/>
    <x v="0"/>
    <x v="3"/>
    <n v="200000"/>
    <n v="200000"/>
    <x v="0"/>
    <n v="338"/>
    <x v="2"/>
    <x v="1"/>
    <m/>
  </r>
  <r>
    <s v="CASE117"/>
    <x v="115"/>
    <x v="0"/>
    <x v="1"/>
    <x v="2"/>
    <n v="50000"/>
    <n v="7053"/>
    <x v="1"/>
    <n v="337"/>
    <x v="2"/>
    <x v="1"/>
    <m/>
  </r>
  <r>
    <s v="CASE118"/>
    <x v="116"/>
    <x v="0"/>
    <x v="0"/>
    <x v="2"/>
    <n v="50000"/>
    <n v="50000"/>
    <x v="0"/>
    <n v="336"/>
    <x v="2"/>
    <x v="1"/>
    <m/>
  </r>
  <r>
    <s v="CASE119"/>
    <x v="117"/>
    <x v="2"/>
    <x v="1"/>
    <x v="2"/>
    <n v="150000"/>
    <n v="130771"/>
    <x v="1"/>
    <n v="335"/>
    <x v="2"/>
    <x v="1"/>
    <m/>
  </r>
  <r>
    <s v="CASE120"/>
    <x v="118"/>
    <x v="0"/>
    <x v="1"/>
    <x v="0"/>
    <n v="50000"/>
    <n v="28497"/>
    <x v="1"/>
    <n v="334"/>
    <x v="2"/>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A70A4A-331F-4249-B762-39DF8EDDBB15}"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6">
  <location ref="E4:F7" firstHeaderRow="1" firstDataRow="1" firstDataCol="1"/>
  <pivotFields count="15">
    <pivotField dataField="1" showAll="0"/>
    <pivotField numFmtId="164" showAll="0">
      <items count="120">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2"/>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3"/>
        <item x="1"/>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0"/>
        <item t="default"/>
      </items>
    </pivotField>
    <pivotField showAll="0">
      <items count="7">
        <item x="5"/>
        <item x="3"/>
        <item x="1"/>
        <item x="2"/>
        <item x="0"/>
        <item x="4"/>
        <item t="default"/>
      </items>
    </pivotField>
    <pivotField showAll="0"/>
    <pivotField showAll="0"/>
    <pivotField showAll="0"/>
    <pivotField showAll="0"/>
    <pivotField axis="axisRow" showAll="0">
      <items count="3">
        <item x="0"/>
        <item x="1"/>
        <item t="default"/>
      </items>
    </pivotField>
    <pivotField showAll="0"/>
    <pivotField showAll="0"/>
    <pivotField showAll="0">
      <items count="4">
        <item x="2"/>
        <item x="0"/>
        <item x="1"/>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7"/>
  </rowFields>
  <rowItems count="3">
    <i>
      <x/>
    </i>
    <i>
      <x v="1"/>
    </i>
    <i t="grand">
      <x/>
    </i>
  </rowItems>
  <colItems count="1">
    <i/>
  </colItems>
  <dataFields count="1">
    <dataField name="Count of Case_ID" fld="0" subtotal="count" baseField="0" baseItem="0"/>
  </dataFields>
  <chartFormats count="3">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7" count="1" selected="0">
            <x v="0"/>
          </reference>
        </references>
      </pivotArea>
    </chartFormat>
    <chartFormat chart="3" format="6">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CEBDC95-D915-41A0-86CB-073DE2B31282}" name="PivotTable10"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H14:I17" firstHeaderRow="1" firstDataRow="1" firstDataCol="1"/>
  <pivotFields count="15">
    <pivotField dataField="1" showAll="0"/>
    <pivotField axis="axisRow" numFmtId="164" showAll="0">
      <items count="120">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2"/>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3"/>
        <item x="1"/>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0"/>
        <item t="default"/>
      </items>
    </pivotField>
    <pivotField showAll="0">
      <items count="7">
        <item h="1" x="5"/>
        <item h="1" x="3"/>
        <item h="1" x="1"/>
        <item h="1" x="2"/>
        <item x="0"/>
        <item h="1" x="4"/>
        <item t="default"/>
      </items>
    </pivotField>
    <pivotField showAll="0">
      <items count="3">
        <item x="0"/>
        <item x="1"/>
        <item t="default"/>
      </items>
    </pivotField>
    <pivotField showAll="0">
      <items count="7">
        <item x="5"/>
        <item x="3"/>
        <item x="1"/>
        <item x="0"/>
        <item x="4"/>
        <item x="2"/>
        <item t="default"/>
      </items>
    </pivotField>
    <pivotField showAll="0"/>
    <pivotField showAll="0"/>
    <pivotField showAll="0">
      <items count="3">
        <item x="0"/>
        <item x="1"/>
        <item t="default"/>
      </items>
    </pivotField>
    <pivotField showAll="0"/>
    <pivotField showAll="0">
      <items count="4">
        <item x="1"/>
        <item x="2"/>
        <item x="0"/>
        <item t="default"/>
      </items>
    </pivotField>
    <pivotField showAll="0">
      <items count="4">
        <item x="2"/>
        <item x="0"/>
        <item x="1"/>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axis="axisRow" showAll="0">
      <items count="5">
        <item sd="0" x="0"/>
        <item sd="0" x="1"/>
        <item sd="0" x="2"/>
        <item sd="0" x="3"/>
        <item t="default"/>
      </items>
    </pivotField>
  </pivotFields>
  <rowFields count="3">
    <field x="14"/>
    <field x="13"/>
    <field x="1"/>
  </rowFields>
  <rowItems count="3">
    <i>
      <x v="1"/>
    </i>
    <i>
      <x v="2"/>
    </i>
    <i t="grand">
      <x/>
    </i>
  </rowItems>
  <colItems count="1">
    <i/>
  </colItems>
  <dataFields count="1">
    <dataField name="Count of Case_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7C01036-A88C-47EA-84CC-E58B281A7300}" name="PivotTable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C13:D17" firstHeaderRow="1" firstDataRow="1" firstDataCol="1"/>
  <pivotFields count="15">
    <pivotField dataField="1" showAll="0"/>
    <pivotField numFmtId="164" showAll="0">
      <items count="120">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2"/>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3"/>
        <item x="1"/>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0"/>
        <item t="default"/>
      </items>
    </pivotField>
    <pivotField showAll="0"/>
    <pivotField showAll="0"/>
    <pivotField showAll="0"/>
    <pivotField showAll="0"/>
    <pivotField showAll="0"/>
    <pivotField showAll="0"/>
    <pivotField showAll="0"/>
    <pivotField axis="axisRow" showAll="0">
      <items count="4">
        <item x="1"/>
        <item x="2"/>
        <item x="0"/>
        <item t="default"/>
      </items>
    </pivotField>
    <pivotField showAll="0">
      <items count="4">
        <item x="2"/>
        <item x="0"/>
        <item x="1"/>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9"/>
  </rowFields>
  <rowItems count="4">
    <i>
      <x/>
    </i>
    <i>
      <x v="1"/>
    </i>
    <i>
      <x v="2"/>
    </i>
    <i t="grand">
      <x/>
    </i>
  </rowItems>
  <colItems count="1">
    <i/>
  </colItems>
  <dataFields count="1">
    <dataField name="Count of Case_ID" fld="0" subtotal="count" baseField="0" baseItem="0"/>
  </dataFields>
  <chartFormats count="4">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9" count="1" selected="0">
            <x v="1"/>
          </reference>
        </references>
      </pivotArea>
    </chartFormat>
    <chartFormat chart="2" format="3">
      <pivotArea type="data" outline="0" fieldPosition="0">
        <references count="2">
          <reference field="4294967294" count="1" selected="0">
            <x v="0"/>
          </reference>
          <reference field="9" count="1" selected="0">
            <x v="2"/>
          </reference>
        </references>
      </pivotArea>
    </chartFormat>
    <chartFormat chart="2" format="4">
      <pivotArea type="data" outline="0" fieldPosition="0">
        <references count="2">
          <reference field="4294967294" count="1" selected="0">
            <x v="0"/>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4085E06-9645-4C18-86C9-D2459D114B0F}"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3:B11" firstHeaderRow="1" firstDataRow="1" firstDataCol="1"/>
  <pivotFields count="15">
    <pivotField dataField="1" showAll="0"/>
    <pivotField showAll="0">
      <items count="121">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2"/>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3"/>
        <item x="1"/>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0"/>
        <item x="119"/>
        <item t="default"/>
      </items>
    </pivotField>
    <pivotField axis="axisRow" showAll="0">
      <items count="8">
        <item x="5"/>
        <item x="3"/>
        <item x="1"/>
        <item x="2"/>
        <item x="0"/>
        <item x="4"/>
        <item x="6"/>
        <item t="default"/>
      </items>
    </pivotField>
    <pivotField showAll="0"/>
    <pivotField showAll="0"/>
    <pivotField showAll="0"/>
    <pivotField showAll="0"/>
    <pivotField showAll="0">
      <items count="4">
        <item x="0"/>
        <item x="1"/>
        <item h="1" x="2"/>
        <item t="default"/>
      </items>
    </pivotField>
    <pivotField showAll="0">
      <items count="121">
        <item x="0"/>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1"/>
        <item x="3"/>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2"/>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119"/>
        <item t="default"/>
      </items>
    </pivotField>
    <pivotField showAll="0">
      <items count="5">
        <item x="1"/>
        <item x="2"/>
        <item x="0"/>
        <item x="3"/>
        <item t="default"/>
      </items>
    </pivotField>
    <pivotField showAll="0">
      <items count="5">
        <item x="2"/>
        <item x="0"/>
        <item x="1"/>
        <item x="3"/>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2"/>
  </rowFields>
  <rowItems count="8">
    <i>
      <x/>
    </i>
    <i>
      <x v="1"/>
    </i>
    <i>
      <x v="2"/>
    </i>
    <i>
      <x v="3"/>
    </i>
    <i>
      <x v="4"/>
    </i>
    <i>
      <x v="5"/>
    </i>
    <i>
      <x v="6"/>
    </i>
    <i t="grand">
      <x/>
    </i>
  </rowItems>
  <colItems count="1">
    <i/>
  </colItems>
  <dataFields count="1">
    <dataField name="total_cases" fld="0" subtotal="count" baseField="2" baseItem="0"/>
  </dataField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E983538-F287-46FB-8071-EB23C4EE796F}" name="PivotTable7"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location ref="A13:B17" firstHeaderRow="1" firstDataRow="1" firstDataCol="1"/>
  <pivotFields count="15">
    <pivotField dataField="1" showAll="0"/>
    <pivotField numFmtId="164" showAll="0">
      <items count="120">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2"/>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3"/>
        <item x="1"/>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0"/>
        <item t="default"/>
      </items>
    </pivotField>
    <pivotField showAll="0"/>
    <pivotField showAll="0"/>
    <pivotField showAll="0"/>
    <pivotField showAll="0"/>
    <pivotField showAll="0"/>
    <pivotField showAll="0"/>
    <pivotField showAll="0"/>
    <pivotField showAll="0"/>
    <pivotField axis="axisRow" showAll="0">
      <items count="4">
        <item x="2"/>
        <item x="0"/>
        <item x="1"/>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10"/>
  </rowFields>
  <rowItems count="4">
    <i>
      <x/>
    </i>
    <i>
      <x v="1"/>
    </i>
    <i>
      <x v="2"/>
    </i>
    <i t="grand">
      <x/>
    </i>
  </rowItems>
  <colItems count="1">
    <i/>
  </colItems>
  <dataFields count="1">
    <dataField name="Count of Case_ID" fld="0" subtotal="count" baseField="0" baseItem="0"/>
  </dataFields>
  <chartFormats count="4">
    <chartFormat chart="8" format="5" series="1">
      <pivotArea type="data" outline="0" fieldPosition="0">
        <references count="1">
          <reference field="4294967294" count="1" selected="0">
            <x v="0"/>
          </reference>
        </references>
      </pivotArea>
    </chartFormat>
    <chartFormat chart="8" format="6">
      <pivotArea type="data" outline="0" fieldPosition="0">
        <references count="2">
          <reference field="4294967294" count="1" selected="0">
            <x v="0"/>
          </reference>
          <reference field="10" count="1" selected="0">
            <x v="0"/>
          </reference>
        </references>
      </pivotArea>
    </chartFormat>
    <chartFormat chart="8" format="7">
      <pivotArea type="data" outline="0" fieldPosition="0">
        <references count="2">
          <reference field="4294967294" count="1" selected="0">
            <x v="0"/>
          </reference>
          <reference field="10" count="1" selected="0">
            <x v="1"/>
          </reference>
        </references>
      </pivotArea>
    </chartFormat>
    <chartFormat chart="8" format="8">
      <pivotArea type="data" outline="0" fieldPosition="0">
        <references count="2">
          <reference field="4294967294" count="1" selected="0">
            <x v="0"/>
          </reference>
          <reference field="1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6C27472-EC1A-4A0B-B541-ED7233060889}" name="PivotTable9"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14:F17" firstHeaderRow="1" firstDataRow="1" firstDataCol="1"/>
  <pivotFields count="15">
    <pivotField dataField="1" showAll="0"/>
    <pivotField numFmtId="164" showAll="0">
      <items count="120">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2"/>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3"/>
        <item x="1"/>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0"/>
        <item t="default"/>
      </items>
    </pivotField>
    <pivotField showAll="0"/>
    <pivotField axis="axisRow" showAll="0">
      <items count="3">
        <item x="0"/>
        <item x="1"/>
        <item t="default"/>
      </items>
    </pivotField>
    <pivotField showAll="0"/>
    <pivotField showAll="0"/>
    <pivotField showAll="0"/>
    <pivotField showAll="0"/>
    <pivotField showAll="0"/>
    <pivotField showAll="0"/>
    <pivotField showAll="0">
      <items count="4">
        <item x="2"/>
        <item x="0"/>
        <item x="1"/>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3"/>
  </rowFields>
  <rowItems count="3">
    <i>
      <x/>
    </i>
    <i>
      <x v="1"/>
    </i>
    <i t="grand">
      <x/>
    </i>
  </rowItems>
  <colItems count="1">
    <i/>
  </colItems>
  <dataFields count="1">
    <dataField name="Count of Case_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3306228-EFE3-49CC-A4C1-1E90B71527AF}"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G4:I11" firstHeaderRow="0" firstDataRow="1" firstDataCol="1"/>
  <pivotFields count="15">
    <pivotField showAll="0"/>
    <pivotField numFmtId="164" showAll="0">
      <items count="120">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2"/>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3"/>
        <item x="1"/>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0"/>
        <item t="default"/>
      </items>
    </pivotField>
    <pivotField axis="axisRow" showAll="0">
      <items count="7">
        <item x="5"/>
        <item x="3"/>
        <item x="1"/>
        <item x="2"/>
        <item x="0"/>
        <item x="4"/>
        <item t="default"/>
      </items>
    </pivotField>
    <pivotField showAll="0"/>
    <pivotField showAll="0"/>
    <pivotField dataField="1" showAll="0"/>
    <pivotField dataField="1" showAll="0"/>
    <pivotField showAll="0"/>
    <pivotField showAll="0"/>
    <pivotField showAll="0"/>
    <pivotField showAll="0">
      <items count="4">
        <item x="2"/>
        <item x="0"/>
        <item x="1"/>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2"/>
  </rowFields>
  <rowItems count="7">
    <i>
      <x/>
    </i>
    <i>
      <x v="1"/>
    </i>
    <i>
      <x v="2"/>
    </i>
    <i>
      <x v="3"/>
    </i>
    <i>
      <x v="4"/>
    </i>
    <i>
      <x v="5"/>
    </i>
    <i t="grand">
      <x/>
    </i>
  </rowItems>
  <colFields count="1">
    <field x="-2"/>
  </colFields>
  <colItems count="2">
    <i>
      <x/>
    </i>
    <i i="1">
      <x v="1"/>
    </i>
  </colItems>
  <dataFields count="2">
    <dataField name="Sum of Compensation_Amount" fld="5" baseField="0" baseItem="0"/>
    <dataField name="Sum of Paid_Amount" fld="6" baseField="0" baseItem="0"/>
  </dataFields>
  <chartFormats count="2">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pplication_Date" xr10:uid="{749E401F-3856-4F1C-95DA-1104AD3A1700}" sourceName="Application_Date">
  <pivotTables>
    <pivotTable tabId="10" name="PivotTable4"/>
  </pivotTables>
  <data>
    <tabular pivotCacheId="273933295">
      <items count="119">
        <i x="38" s="1"/>
        <i x="39" s="1"/>
        <i x="40" s="1"/>
        <i x="41" s="1"/>
        <i x="42" s="1"/>
        <i x="43" s="1"/>
        <i x="44" s="1"/>
        <i x="45" s="1"/>
        <i x="46" s="1"/>
        <i x="47" s="1"/>
        <i x="48" s="1"/>
        <i x="49" s="1"/>
        <i x="50" s="1"/>
        <i x="51" s="1"/>
        <i x="52" s="1"/>
        <i x="53" s="1"/>
        <i x="54" s="1"/>
        <i x="55" s="1"/>
        <i x="56" s="1"/>
        <i x="57" s="1"/>
        <i x="58" s="1"/>
        <i x="59" s="1"/>
        <i x="60" s="1"/>
        <i x="61" s="1"/>
        <i x="62" s="1"/>
        <i x="63" s="1"/>
        <i x="64" s="1"/>
        <i x="65" s="1"/>
        <i x="66" s="1"/>
        <i x="67" s="1"/>
        <i x="68" s="1"/>
        <i x="69" s="1"/>
        <i x="2" s="1"/>
        <i x="70" s="1"/>
        <i x="71" s="1"/>
        <i x="72" s="1"/>
        <i x="73" s="1"/>
        <i x="74" s="1"/>
        <i x="75" s="1"/>
        <i x="76" s="1"/>
        <i x="77" s="1"/>
        <i x="78" s="1"/>
        <i x="79" s="1"/>
        <i x="80" s="1"/>
        <i x="81" s="1"/>
        <i x="82" s="1"/>
        <i x="83" s="1"/>
        <i x="84" s="1"/>
        <i x="85" s="1"/>
        <i x="86" s="1"/>
        <i x="87" s="1"/>
        <i x="88" s="1"/>
        <i x="89" s="1"/>
        <i x="90" s="1"/>
        <i x="91" s="1"/>
        <i x="92" s="1"/>
        <i x="93" s="1"/>
        <i x="94" s="1"/>
        <i x="95" s="1"/>
        <i x="96" s="1"/>
        <i x="97" s="1"/>
        <i x="98" s="1"/>
        <i x="99" s="1"/>
        <i x="100" s="1"/>
        <i x="101" s="1"/>
        <i x="102" s="1"/>
        <i x="103" s="1"/>
        <i x="104" s="1"/>
        <i x="105" s="1"/>
        <i x="106" s="1"/>
        <i x="107" s="1"/>
        <i x="108" s="1"/>
        <i x="109" s="1"/>
        <i x="110" s="1"/>
        <i x="111" s="1"/>
        <i x="112" s="1"/>
        <i x="113" s="1"/>
        <i x="114" s="1"/>
        <i x="115" s="1"/>
        <i x="116" s="1"/>
        <i x="117" s="1"/>
        <i x="118" s="1"/>
        <i x="3" s="1"/>
        <i x="1"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trict" xr10:uid="{6D07D18C-91AC-428E-ACA7-B8246B22E95B}" sourceName="District">
  <pivotTables>
    <pivotTable tabId="10" name="PivotTable4"/>
  </pivotTables>
  <data>
    <tabular pivotCacheId="273933295">
      <items count="6">
        <i x="5" s="1"/>
        <i x="3" s="1"/>
        <i x="1" s="1"/>
        <i x="2" s="1"/>
        <i x="0" s="1"/>
        <i x="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pproval_Status" xr10:uid="{435B4217-889E-4200-8510-3A548538ED14}" sourceName="Approval_Status">
  <pivotTables>
    <pivotTable tabId="10" name="PivotTable4"/>
  </pivotTables>
  <data>
    <tabular pivotCacheId="273933295">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pplication_Date" xr10:uid="{E5C43F40-14AF-4DB8-8D2C-132743AD1E77}" cache="Slicer_Application_Date" caption="Application_Date" rowHeight="241300"/>
  <slicer name="District" xr10:uid="{F488F2FC-023B-409C-8E0E-43160977AF55}" cache="Slicer_District" caption="District" rowHeight="241300"/>
  <slicer name="Approval_Status" xr10:uid="{5538C2A6-286A-4F89-B258-6783F3BCFE08}" cache="Slicer_Approval_Status" caption="Approval_Status"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pplication_Date 1" xr10:uid="{425C3FB4-82EA-41A4-8DA5-DA9389AC14BD}" cache="Slicer_Application_Date" caption="Application_Date" style="SlicerStyleDark1" rowHeight="360000"/>
  <slicer name="District 1" xr10:uid="{775E3B9E-9888-479F-8BB6-FECA9D65D1C1}" cache="Slicer_District" caption="District" style="SlicerStyleDark1" rowHeight="360000"/>
  <slicer name="Approval_Status 1" xr10:uid="{FABD6FFC-6FE5-4646-9C08-1764FD589CF9}" cache="Slicer_Approval_Status" caption="Approval_Status" style="SlicerStyleDark1" rowHeight="360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84248B-A135-4145-9856-19FEA3F2D2FE}" name="Table1" displayName="Table1" ref="A1:L121" totalsRowShown="0" headerRowDxfId="2">
  <autoFilter ref="A1:L121" xr:uid="{D084248B-A135-4145-9856-19FEA3F2D2FE}"/>
  <tableColumns count="12">
    <tableColumn id="1" xr3:uid="{E5C95962-04FD-46A4-9109-84D858A4FD71}" name="Case_ID"/>
    <tableColumn id="2" xr3:uid="{5584EAA8-BACC-4C70-9AE0-885B5EB93049}" name="Application_Date" dataDxfId="1"/>
    <tableColumn id="3" xr3:uid="{9B196B3C-8C6F-4EC2-BC9C-65638C8F01E7}" name="District"/>
    <tableColumn id="4" xr3:uid="{DBCBC7DF-60EB-4D1C-A9B2-01995314D226}" name="Gender"/>
    <tableColumn id="5" xr3:uid="{15A42D4A-4517-4619-AB63-451BD0C4D699}" name="Case_Type"/>
    <tableColumn id="6" xr3:uid="{27FB2913-4860-4F1E-81BD-A27DD992A00A}" name="Compensation_Amount"/>
    <tableColumn id="7" xr3:uid="{8AF9AF2B-EFAE-4FA5-9516-488D67431113}" name="Paid_Amount"/>
    <tableColumn id="8" xr3:uid="{C5C3E2E3-9355-48D2-9A60-9B78F82F0D6F}" name="Approval_Status"/>
    <tableColumn id="9" xr3:uid="{9EA74245-64FE-40A8-B9EF-80E9E5B634F3}" name="Pending days"/>
    <tableColumn id="10" xr3:uid="{8FD206AE-6242-4ECD-BFEF-7965A265C0C9}" name="Delay Forecast"/>
    <tableColumn id="11" xr3:uid="{4062819F-B781-4057-A74C-BC9F2D225FAC}" name="Risk level" dataDxfId="0"/>
    <tableColumn id="12" xr3:uid="{EE3D34BA-B278-4C33-BBBC-0ECD776567CE}" name="Alert Flag"/>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5.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21"/>
  <sheetViews>
    <sheetView topLeftCell="A91" zoomScale="75" zoomScaleNormal="70" workbookViewId="0">
      <selection activeCell="O101" sqref="O101"/>
    </sheetView>
  </sheetViews>
  <sheetFormatPr defaultRowHeight="14.5" x14ac:dyDescent="0.35"/>
  <cols>
    <col min="1" max="1" width="14.1796875" customWidth="1"/>
    <col min="2" max="2" width="20" style="6" customWidth="1"/>
    <col min="4" max="4" width="8.90625" customWidth="1"/>
    <col min="5" max="5" width="19.81640625" customWidth="1"/>
    <col min="6" max="6" width="23.26953125" customWidth="1"/>
    <col min="7" max="7" width="15.6328125" customWidth="1"/>
    <col min="8" max="8" width="16.453125" customWidth="1"/>
    <col min="9" max="9" width="13.6328125" customWidth="1"/>
    <col min="10" max="10" width="15" customWidth="1"/>
    <col min="11" max="11" width="11.6328125" customWidth="1"/>
    <col min="12" max="12" width="10.54296875" customWidth="1"/>
  </cols>
  <sheetData>
    <row r="1" spans="1:12" x14ac:dyDescent="0.35">
      <c r="A1" s="1" t="s">
        <v>0</v>
      </c>
      <c r="B1" s="5" t="s">
        <v>3</v>
      </c>
      <c r="C1" s="1" t="s">
        <v>1</v>
      </c>
      <c r="D1" s="1" t="s">
        <v>2</v>
      </c>
      <c r="E1" t="s">
        <v>186</v>
      </c>
      <c r="F1" s="1" t="s">
        <v>4</v>
      </c>
      <c r="G1" t="s">
        <v>187</v>
      </c>
      <c r="H1" s="1" t="s">
        <v>5</v>
      </c>
      <c r="I1" s="2" t="s">
        <v>142</v>
      </c>
      <c r="J1" t="s">
        <v>185</v>
      </c>
      <c r="K1" s="2" t="s">
        <v>143</v>
      </c>
      <c r="L1" s="2" t="s">
        <v>146</v>
      </c>
    </row>
    <row r="2" spans="1:12" x14ac:dyDescent="0.35">
      <c r="A2" t="s">
        <v>6</v>
      </c>
      <c r="B2" s="6">
        <v>46071</v>
      </c>
      <c r="C2" t="s">
        <v>126</v>
      </c>
      <c r="D2" t="s">
        <v>132</v>
      </c>
      <c r="E2" t="s">
        <v>135</v>
      </c>
      <c r="F2">
        <v>150000</v>
      </c>
      <c r="G2">
        <v>150000</v>
      </c>
      <c r="H2" t="s">
        <v>136</v>
      </c>
      <c r="I2">
        <v>33</v>
      </c>
      <c r="J2" t="s">
        <v>188</v>
      </c>
      <c r="K2" s="8" t="s">
        <v>189</v>
      </c>
    </row>
    <row r="3" spans="1:12" x14ac:dyDescent="0.35">
      <c r="A3" t="s">
        <v>7</v>
      </c>
      <c r="B3" s="6">
        <v>45876</v>
      </c>
      <c r="C3" t="s">
        <v>127</v>
      </c>
      <c r="D3" t="s">
        <v>133</v>
      </c>
      <c r="E3" t="s">
        <v>135</v>
      </c>
      <c r="F3">
        <v>100000</v>
      </c>
      <c r="G3">
        <v>100000</v>
      </c>
      <c r="H3" t="s">
        <v>136</v>
      </c>
      <c r="I3">
        <v>228</v>
      </c>
      <c r="J3" t="s">
        <v>148</v>
      </c>
      <c r="K3" s="4" t="s">
        <v>147</v>
      </c>
    </row>
    <row r="4" spans="1:12" x14ac:dyDescent="0.35">
      <c r="A4" t="s">
        <v>8</v>
      </c>
      <c r="B4" s="6">
        <v>45721</v>
      </c>
      <c r="C4" t="s">
        <v>126</v>
      </c>
      <c r="D4" t="s">
        <v>132</v>
      </c>
      <c r="E4" t="s">
        <v>138</v>
      </c>
      <c r="F4">
        <v>300000</v>
      </c>
      <c r="G4">
        <v>168661</v>
      </c>
      <c r="H4" t="s">
        <v>137</v>
      </c>
      <c r="I4">
        <v>383</v>
      </c>
      <c r="J4" t="s">
        <v>144</v>
      </c>
      <c r="K4" s="3" t="s">
        <v>145</v>
      </c>
      <c r="L4" t="s">
        <v>190</v>
      </c>
    </row>
    <row r="5" spans="1:12" x14ac:dyDescent="0.35">
      <c r="A5" t="s">
        <v>9</v>
      </c>
      <c r="B5" s="6">
        <v>45856</v>
      </c>
      <c r="C5" t="s">
        <v>127</v>
      </c>
      <c r="D5" t="s">
        <v>132</v>
      </c>
      <c r="E5" t="s">
        <v>138</v>
      </c>
      <c r="F5">
        <v>100000</v>
      </c>
      <c r="G5">
        <v>71075</v>
      </c>
      <c r="H5" t="s">
        <v>137</v>
      </c>
      <c r="I5">
        <v>248</v>
      </c>
      <c r="J5" t="s">
        <v>148</v>
      </c>
      <c r="K5" s="4" t="s">
        <v>147</v>
      </c>
    </row>
    <row r="6" spans="1:12" x14ac:dyDescent="0.35">
      <c r="A6" t="s">
        <v>10</v>
      </c>
      <c r="B6" s="6">
        <v>46020</v>
      </c>
      <c r="C6" t="s">
        <v>126</v>
      </c>
      <c r="D6" t="s">
        <v>132</v>
      </c>
      <c r="E6" t="s">
        <v>139</v>
      </c>
      <c r="F6">
        <v>150000</v>
      </c>
      <c r="G6">
        <v>150000</v>
      </c>
      <c r="H6" t="s">
        <v>136</v>
      </c>
      <c r="I6">
        <v>84</v>
      </c>
      <c r="J6" t="s">
        <v>188</v>
      </c>
      <c r="K6" s="8" t="s">
        <v>189</v>
      </c>
    </row>
    <row r="7" spans="1:12" x14ac:dyDescent="0.35">
      <c r="A7" t="s">
        <v>11</v>
      </c>
      <c r="B7" s="6">
        <v>46021</v>
      </c>
      <c r="C7" t="s">
        <v>128</v>
      </c>
      <c r="D7" t="s">
        <v>133</v>
      </c>
      <c r="E7" t="s">
        <v>134</v>
      </c>
      <c r="F7">
        <v>150000</v>
      </c>
      <c r="G7">
        <v>16848</v>
      </c>
      <c r="H7" t="s">
        <v>137</v>
      </c>
      <c r="I7">
        <v>83</v>
      </c>
      <c r="J7" t="s">
        <v>188</v>
      </c>
      <c r="K7" s="8" t="s">
        <v>189</v>
      </c>
    </row>
    <row r="8" spans="1:12" x14ac:dyDescent="0.35">
      <c r="A8" t="s">
        <v>12</v>
      </c>
      <c r="B8" s="6">
        <v>46022</v>
      </c>
      <c r="C8" t="s">
        <v>129</v>
      </c>
      <c r="D8" t="s">
        <v>132</v>
      </c>
      <c r="E8" t="s">
        <v>140</v>
      </c>
      <c r="F8">
        <v>300000</v>
      </c>
      <c r="G8">
        <v>300000</v>
      </c>
      <c r="H8" t="s">
        <v>136</v>
      </c>
      <c r="I8">
        <v>82</v>
      </c>
      <c r="J8" t="s">
        <v>188</v>
      </c>
      <c r="K8" s="8" t="s">
        <v>189</v>
      </c>
    </row>
    <row r="9" spans="1:12" x14ac:dyDescent="0.35">
      <c r="A9" t="s">
        <v>13</v>
      </c>
      <c r="B9" s="6">
        <v>46023</v>
      </c>
      <c r="C9" t="s">
        <v>130</v>
      </c>
      <c r="D9" t="s">
        <v>132</v>
      </c>
      <c r="E9" t="s">
        <v>134</v>
      </c>
      <c r="F9">
        <v>100000</v>
      </c>
      <c r="G9">
        <v>100000</v>
      </c>
      <c r="H9" t="s">
        <v>136</v>
      </c>
      <c r="I9">
        <v>81</v>
      </c>
      <c r="J9" t="s">
        <v>188</v>
      </c>
      <c r="K9" s="8" t="s">
        <v>189</v>
      </c>
    </row>
    <row r="10" spans="1:12" x14ac:dyDescent="0.35">
      <c r="A10" t="s">
        <v>14</v>
      </c>
      <c r="B10" s="6">
        <v>46024</v>
      </c>
      <c r="C10" t="s">
        <v>131</v>
      </c>
      <c r="D10" t="s">
        <v>132</v>
      </c>
      <c r="E10" t="s">
        <v>135</v>
      </c>
      <c r="F10">
        <v>50000</v>
      </c>
      <c r="G10">
        <v>24090</v>
      </c>
      <c r="H10" t="s">
        <v>137</v>
      </c>
      <c r="I10">
        <v>80</v>
      </c>
      <c r="J10" t="s">
        <v>188</v>
      </c>
      <c r="K10" s="8" t="s">
        <v>189</v>
      </c>
    </row>
    <row r="11" spans="1:12" x14ac:dyDescent="0.35">
      <c r="A11" t="s">
        <v>15</v>
      </c>
      <c r="B11" s="6">
        <v>46025</v>
      </c>
      <c r="C11" t="s">
        <v>128</v>
      </c>
      <c r="D11" t="s">
        <v>133</v>
      </c>
      <c r="E11" t="s">
        <v>135</v>
      </c>
      <c r="F11">
        <v>100000</v>
      </c>
      <c r="G11">
        <v>100000</v>
      </c>
      <c r="H11" t="s">
        <v>136</v>
      </c>
      <c r="I11">
        <v>79</v>
      </c>
      <c r="J11" t="s">
        <v>188</v>
      </c>
      <c r="K11" s="8" t="s">
        <v>189</v>
      </c>
    </row>
    <row r="12" spans="1:12" x14ac:dyDescent="0.35">
      <c r="A12" t="s">
        <v>16</v>
      </c>
      <c r="B12" s="6">
        <v>46026</v>
      </c>
      <c r="C12" t="s">
        <v>130</v>
      </c>
      <c r="D12" t="s">
        <v>133</v>
      </c>
      <c r="E12" t="s">
        <v>134</v>
      </c>
      <c r="F12">
        <v>300000</v>
      </c>
      <c r="G12">
        <v>89797</v>
      </c>
      <c r="H12" t="s">
        <v>137</v>
      </c>
      <c r="I12">
        <v>78</v>
      </c>
      <c r="J12" t="s">
        <v>188</v>
      </c>
      <c r="K12" s="8" t="s">
        <v>189</v>
      </c>
    </row>
    <row r="13" spans="1:12" x14ac:dyDescent="0.35">
      <c r="A13" t="s">
        <v>17</v>
      </c>
      <c r="B13" s="6">
        <v>46027</v>
      </c>
      <c r="C13" t="s">
        <v>128</v>
      </c>
      <c r="D13" t="s">
        <v>132</v>
      </c>
      <c r="E13" t="s">
        <v>140</v>
      </c>
      <c r="F13">
        <v>200000</v>
      </c>
      <c r="G13">
        <v>200000</v>
      </c>
      <c r="H13" t="s">
        <v>136</v>
      </c>
      <c r="I13">
        <v>77</v>
      </c>
      <c r="J13" t="s">
        <v>188</v>
      </c>
      <c r="K13" s="8" t="s">
        <v>189</v>
      </c>
    </row>
    <row r="14" spans="1:12" x14ac:dyDescent="0.35">
      <c r="A14" t="s">
        <v>18</v>
      </c>
      <c r="B14" s="6">
        <v>46028</v>
      </c>
      <c r="C14" t="s">
        <v>131</v>
      </c>
      <c r="D14" t="s">
        <v>132</v>
      </c>
      <c r="E14" t="s">
        <v>140</v>
      </c>
      <c r="F14">
        <v>75000</v>
      </c>
      <c r="G14">
        <v>17224</v>
      </c>
      <c r="H14" t="s">
        <v>137</v>
      </c>
      <c r="I14">
        <v>76</v>
      </c>
      <c r="J14" t="s">
        <v>188</v>
      </c>
      <c r="K14" s="8" t="s">
        <v>189</v>
      </c>
    </row>
    <row r="15" spans="1:12" x14ac:dyDescent="0.35">
      <c r="A15" t="s">
        <v>19</v>
      </c>
      <c r="B15" s="6">
        <v>46029</v>
      </c>
      <c r="C15" t="s">
        <v>127</v>
      </c>
      <c r="D15" t="s">
        <v>132</v>
      </c>
      <c r="E15" t="s">
        <v>135</v>
      </c>
      <c r="F15">
        <v>50000</v>
      </c>
      <c r="G15">
        <v>50000</v>
      </c>
      <c r="H15" t="s">
        <v>136</v>
      </c>
      <c r="I15">
        <v>75</v>
      </c>
      <c r="J15" t="s">
        <v>188</v>
      </c>
      <c r="K15" s="8" t="s">
        <v>189</v>
      </c>
    </row>
    <row r="16" spans="1:12" x14ac:dyDescent="0.35">
      <c r="A16" t="s">
        <v>20</v>
      </c>
      <c r="B16" s="6">
        <v>46030</v>
      </c>
      <c r="C16" t="s">
        <v>130</v>
      </c>
      <c r="D16" t="s">
        <v>133</v>
      </c>
      <c r="E16" t="s">
        <v>134</v>
      </c>
      <c r="F16">
        <v>100000</v>
      </c>
      <c r="G16">
        <v>50668</v>
      </c>
      <c r="H16" t="s">
        <v>137</v>
      </c>
      <c r="I16">
        <v>74</v>
      </c>
      <c r="J16" t="s">
        <v>188</v>
      </c>
      <c r="K16" s="8" t="s">
        <v>189</v>
      </c>
    </row>
    <row r="17" spans="1:11" x14ac:dyDescent="0.35">
      <c r="A17" t="s">
        <v>21</v>
      </c>
      <c r="B17" s="6">
        <v>46031</v>
      </c>
      <c r="C17" t="s">
        <v>128</v>
      </c>
      <c r="D17" t="s">
        <v>133</v>
      </c>
      <c r="E17" t="s">
        <v>134</v>
      </c>
      <c r="F17">
        <v>75000</v>
      </c>
      <c r="G17">
        <v>8217</v>
      </c>
      <c r="H17" t="s">
        <v>137</v>
      </c>
      <c r="I17">
        <v>73</v>
      </c>
      <c r="J17" t="s">
        <v>188</v>
      </c>
      <c r="K17" s="8" t="s">
        <v>189</v>
      </c>
    </row>
    <row r="18" spans="1:11" x14ac:dyDescent="0.35">
      <c r="A18" t="s">
        <v>22</v>
      </c>
      <c r="B18" s="6">
        <v>46032</v>
      </c>
      <c r="C18" t="s">
        <v>130</v>
      </c>
      <c r="D18" t="s">
        <v>133</v>
      </c>
      <c r="E18" t="s">
        <v>140</v>
      </c>
      <c r="F18">
        <v>200000</v>
      </c>
      <c r="G18">
        <v>88539</v>
      </c>
      <c r="H18" t="s">
        <v>137</v>
      </c>
      <c r="I18">
        <v>72</v>
      </c>
      <c r="J18" t="s">
        <v>188</v>
      </c>
      <c r="K18" s="8" t="s">
        <v>189</v>
      </c>
    </row>
    <row r="19" spans="1:11" x14ac:dyDescent="0.35">
      <c r="A19" t="s">
        <v>23</v>
      </c>
      <c r="B19" s="6">
        <v>46033</v>
      </c>
      <c r="C19" t="s">
        <v>130</v>
      </c>
      <c r="D19" t="s">
        <v>132</v>
      </c>
      <c r="E19" t="s">
        <v>141</v>
      </c>
      <c r="F19">
        <v>150000</v>
      </c>
      <c r="G19">
        <v>150000</v>
      </c>
      <c r="H19" t="s">
        <v>136</v>
      </c>
      <c r="I19">
        <v>71</v>
      </c>
      <c r="J19" t="s">
        <v>188</v>
      </c>
      <c r="K19" s="8" t="s">
        <v>189</v>
      </c>
    </row>
    <row r="20" spans="1:11" x14ac:dyDescent="0.35">
      <c r="A20" t="s">
        <v>24</v>
      </c>
      <c r="B20" s="6">
        <v>46034</v>
      </c>
      <c r="C20" t="s">
        <v>131</v>
      </c>
      <c r="D20" t="s">
        <v>132</v>
      </c>
      <c r="E20" t="s">
        <v>138</v>
      </c>
      <c r="F20">
        <v>200000</v>
      </c>
      <c r="G20">
        <v>200000</v>
      </c>
      <c r="H20" t="s">
        <v>136</v>
      </c>
      <c r="I20">
        <v>70</v>
      </c>
      <c r="J20" t="s">
        <v>188</v>
      </c>
      <c r="K20" s="8" t="s">
        <v>189</v>
      </c>
    </row>
    <row r="21" spans="1:11" x14ac:dyDescent="0.35">
      <c r="A21" t="s">
        <v>25</v>
      </c>
      <c r="B21" s="6">
        <v>46035</v>
      </c>
      <c r="C21" t="s">
        <v>130</v>
      </c>
      <c r="D21" t="s">
        <v>133</v>
      </c>
      <c r="E21" t="s">
        <v>138</v>
      </c>
      <c r="F21">
        <v>100000</v>
      </c>
      <c r="G21">
        <v>93853</v>
      </c>
      <c r="H21" t="s">
        <v>137</v>
      </c>
      <c r="I21">
        <v>69</v>
      </c>
      <c r="J21" t="s">
        <v>188</v>
      </c>
      <c r="K21" s="8" t="s">
        <v>189</v>
      </c>
    </row>
    <row r="22" spans="1:11" x14ac:dyDescent="0.35">
      <c r="A22" t="s">
        <v>26</v>
      </c>
      <c r="B22" s="6">
        <v>46036</v>
      </c>
      <c r="C22" t="s">
        <v>131</v>
      </c>
      <c r="D22" t="s">
        <v>132</v>
      </c>
      <c r="E22" t="s">
        <v>140</v>
      </c>
      <c r="F22">
        <v>300000</v>
      </c>
      <c r="G22">
        <v>84627</v>
      </c>
      <c r="H22" t="s">
        <v>137</v>
      </c>
      <c r="I22">
        <v>68</v>
      </c>
      <c r="J22" t="s">
        <v>188</v>
      </c>
      <c r="K22" s="8" t="s">
        <v>189</v>
      </c>
    </row>
    <row r="23" spans="1:11" x14ac:dyDescent="0.35">
      <c r="A23" t="s">
        <v>27</v>
      </c>
      <c r="B23" s="6">
        <v>46037</v>
      </c>
      <c r="C23" t="s">
        <v>127</v>
      </c>
      <c r="D23" t="s">
        <v>132</v>
      </c>
      <c r="E23" t="s">
        <v>141</v>
      </c>
      <c r="F23">
        <v>300000</v>
      </c>
      <c r="G23">
        <v>90197</v>
      </c>
      <c r="H23" t="s">
        <v>137</v>
      </c>
      <c r="I23">
        <v>67</v>
      </c>
      <c r="J23" t="s">
        <v>188</v>
      </c>
      <c r="K23" s="8" t="s">
        <v>189</v>
      </c>
    </row>
    <row r="24" spans="1:11" x14ac:dyDescent="0.35">
      <c r="A24" t="s">
        <v>28</v>
      </c>
      <c r="B24" s="6">
        <v>46038</v>
      </c>
      <c r="C24" t="s">
        <v>131</v>
      </c>
      <c r="D24" t="s">
        <v>133</v>
      </c>
      <c r="E24" t="s">
        <v>139</v>
      </c>
      <c r="F24">
        <v>75000</v>
      </c>
      <c r="G24">
        <v>75000</v>
      </c>
      <c r="H24" t="s">
        <v>136</v>
      </c>
      <c r="I24">
        <v>66</v>
      </c>
      <c r="J24" t="s">
        <v>188</v>
      </c>
      <c r="K24" s="8" t="s">
        <v>189</v>
      </c>
    </row>
    <row r="25" spans="1:11" x14ac:dyDescent="0.35">
      <c r="A25" t="s">
        <v>29</v>
      </c>
      <c r="B25" s="6">
        <v>46039</v>
      </c>
      <c r="C25" t="s">
        <v>129</v>
      </c>
      <c r="D25" t="s">
        <v>133</v>
      </c>
      <c r="E25" t="s">
        <v>141</v>
      </c>
      <c r="F25">
        <v>150000</v>
      </c>
      <c r="G25">
        <v>150000</v>
      </c>
      <c r="H25" t="s">
        <v>136</v>
      </c>
      <c r="I25">
        <v>65</v>
      </c>
      <c r="J25" t="s">
        <v>188</v>
      </c>
      <c r="K25" s="8" t="s">
        <v>189</v>
      </c>
    </row>
    <row r="26" spans="1:11" x14ac:dyDescent="0.35">
      <c r="A26" t="s">
        <v>30</v>
      </c>
      <c r="B26" s="6">
        <v>46040</v>
      </c>
      <c r="C26" t="s">
        <v>131</v>
      </c>
      <c r="D26" t="s">
        <v>133</v>
      </c>
      <c r="E26" t="s">
        <v>139</v>
      </c>
      <c r="F26">
        <v>150000</v>
      </c>
      <c r="G26">
        <v>25272</v>
      </c>
      <c r="H26" t="s">
        <v>137</v>
      </c>
      <c r="I26">
        <v>64</v>
      </c>
      <c r="J26" t="s">
        <v>188</v>
      </c>
      <c r="K26" s="8" t="s">
        <v>189</v>
      </c>
    </row>
    <row r="27" spans="1:11" x14ac:dyDescent="0.35">
      <c r="A27" t="s">
        <v>31</v>
      </c>
      <c r="B27" s="6">
        <v>46041</v>
      </c>
      <c r="C27" t="s">
        <v>126</v>
      </c>
      <c r="D27" t="s">
        <v>132</v>
      </c>
      <c r="E27" t="s">
        <v>138</v>
      </c>
      <c r="F27">
        <v>75000</v>
      </c>
      <c r="G27">
        <v>45000</v>
      </c>
      <c r="H27" t="s">
        <v>137</v>
      </c>
      <c r="I27">
        <v>63</v>
      </c>
      <c r="J27" t="s">
        <v>188</v>
      </c>
      <c r="K27" s="8" t="s">
        <v>189</v>
      </c>
    </row>
    <row r="28" spans="1:11" x14ac:dyDescent="0.35">
      <c r="A28" t="s">
        <v>32</v>
      </c>
      <c r="B28" s="6">
        <v>46042</v>
      </c>
      <c r="C28" t="s">
        <v>131</v>
      </c>
      <c r="D28" t="s">
        <v>132</v>
      </c>
      <c r="E28" t="s">
        <v>139</v>
      </c>
      <c r="F28">
        <v>75000</v>
      </c>
      <c r="G28">
        <v>75000</v>
      </c>
      <c r="H28" t="s">
        <v>136</v>
      </c>
      <c r="I28">
        <v>62</v>
      </c>
      <c r="J28" t="s">
        <v>188</v>
      </c>
      <c r="K28" s="8" t="s">
        <v>189</v>
      </c>
    </row>
    <row r="29" spans="1:11" x14ac:dyDescent="0.35">
      <c r="A29" t="s">
        <v>33</v>
      </c>
      <c r="B29" s="6">
        <v>46043</v>
      </c>
      <c r="C29" t="s">
        <v>129</v>
      </c>
      <c r="D29" t="s">
        <v>132</v>
      </c>
      <c r="E29" t="s">
        <v>135</v>
      </c>
      <c r="F29">
        <v>300000</v>
      </c>
      <c r="G29">
        <v>300000</v>
      </c>
      <c r="H29" t="s">
        <v>136</v>
      </c>
      <c r="I29">
        <v>61</v>
      </c>
      <c r="J29" t="s">
        <v>188</v>
      </c>
      <c r="K29" s="8" t="s">
        <v>189</v>
      </c>
    </row>
    <row r="30" spans="1:11" x14ac:dyDescent="0.35">
      <c r="A30" t="s">
        <v>34</v>
      </c>
      <c r="B30" s="6">
        <v>46044</v>
      </c>
      <c r="C30" t="s">
        <v>129</v>
      </c>
      <c r="D30" t="s">
        <v>133</v>
      </c>
      <c r="E30" t="s">
        <v>134</v>
      </c>
      <c r="F30">
        <v>50000</v>
      </c>
      <c r="G30">
        <v>5854</v>
      </c>
      <c r="H30" t="s">
        <v>137</v>
      </c>
      <c r="I30">
        <v>60</v>
      </c>
      <c r="J30" t="s">
        <v>188</v>
      </c>
      <c r="K30" s="8" t="s">
        <v>189</v>
      </c>
    </row>
    <row r="31" spans="1:11" x14ac:dyDescent="0.35">
      <c r="A31" t="s">
        <v>35</v>
      </c>
      <c r="B31" s="6">
        <v>46045</v>
      </c>
      <c r="C31" t="s">
        <v>128</v>
      </c>
      <c r="D31" t="s">
        <v>133</v>
      </c>
      <c r="E31" t="s">
        <v>138</v>
      </c>
      <c r="F31">
        <v>75000</v>
      </c>
      <c r="G31">
        <v>43184</v>
      </c>
      <c r="H31" t="s">
        <v>137</v>
      </c>
      <c r="I31">
        <v>59</v>
      </c>
      <c r="J31" t="s">
        <v>188</v>
      </c>
      <c r="K31" s="8" t="s">
        <v>189</v>
      </c>
    </row>
    <row r="32" spans="1:11" x14ac:dyDescent="0.35">
      <c r="A32" t="s">
        <v>36</v>
      </c>
      <c r="B32" s="6">
        <v>46046</v>
      </c>
      <c r="C32" t="s">
        <v>127</v>
      </c>
      <c r="D32" t="s">
        <v>133</v>
      </c>
      <c r="E32" t="s">
        <v>138</v>
      </c>
      <c r="F32">
        <v>50000</v>
      </c>
      <c r="G32">
        <v>50000</v>
      </c>
      <c r="H32" t="s">
        <v>136</v>
      </c>
      <c r="I32">
        <v>58</v>
      </c>
      <c r="J32" t="s">
        <v>188</v>
      </c>
      <c r="K32" s="8" t="s">
        <v>189</v>
      </c>
    </row>
    <row r="33" spans="1:12" x14ac:dyDescent="0.35">
      <c r="A33" t="s">
        <v>37</v>
      </c>
      <c r="B33" s="6">
        <v>46047</v>
      </c>
      <c r="C33" t="s">
        <v>130</v>
      </c>
      <c r="D33" t="s">
        <v>132</v>
      </c>
      <c r="E33" t="s">
        <v>141</v>
      </c>
      <c r="F33">
        <v>150000</v>
      </c>
      <c r="G33">
        <v>192486</v>
      </c>
      <c r="H33" t="s">
        <v>136</v>
      </c>
      <c r="I33">
        <v>57</v>
      </c>
      <c r="J33" t="s">
        <v>188</v>
      </c>
      <c r="K33" s="8" t="s">
        <v>189</v>
      </c>
    </row>
    <row r="34" spans="1:12" x14ac:dyDescent="0.35">
      <c r="A34" t="s">
        <v>38</v>
      </c>
      <c r="B34" s="6">
        <v>46048</v>
      </c>
      <c r="C34" t="s">
        <v>131</v>
      </c>
      <c r="D34" t="s">
        <v>132</v>
      </c>
      <c r="E34" t="s">
        <v>140</v>
      </c>
      <c r="F34">
        <v>75000</v>
      </c>
      <c r="G34">
        <v>35000</v>
      </c>
      <c r="H34" t="s">
        <v>137</v>
      </c>
      <c r="I34">
        <v>56</v>
      </c>
      <c r="J34" t="s">
        <v>188</v>
      </c>
      <c r="K34" s="8" t="s">
        <v>189</v>
      </c>
    </row>
    <row r="35" spans="1:12" x14ac:dyDescent="0.35">
      <c r="A35" t="s">
        <v>39</v>
      </c>
      <c r="B35" s="6">
        <v>46049</v>
      </c>
      <c r="C35" t="s">
        <v>128</v>
      </c>
      <c r="D35" t="s">
        <v>132</v>
      </c>
      <c r="E35" t="s">
        <v>138</v>
      </c>
      <c r="F35">
        <v>300000</v>
      </c>
      <c r="G35">
        <v>62741</v>
      </c>
      <c r="H35" t="s">
        <v>137</v>
      </c>
      <c r="I35">
        <v>55</v>
      </c>
      <c r="J35" t="s">
        <v>188</v>
      </c>
      <c r="K35" s="8" t="s">
        <v>189</v>
      </c>
    </row>
    <row r="36" spans="1:12" x14ac:dyDescent="0.35">
      <c r="A36" t="s">
        <v>40</v>
      </c>
      <c r="B36" s="6">
        <v>46050</v>
      </c>
      <c r="C36" t="s">
        <v>130</v>
      </c>
      <c r="D36" t="s">
        <v>133</v>
      </c>
      <c r="E36" t="s">
        <v>140</v>
      </c>
      <c r="F36">
        <v>50000</v>
      </c>
      <c r="G36">
        <v>50000</v>
      </c>
      <c r="H36" t="s">
        <v>136</v>
      </c>
      <c r="I36">
        <v>54</v>
      </c>
      <c r="J36" t="s">
        <v>188</v>
      </c>
      <c r="K36" s="8" t="s">
        <v>189</v>
      </c>
    </row>
    <row r="37" spans="1:12" x14ac:dyDescent="0.35">
      <c r="A37" t="s">
        <v>41</v>
      </c>
      <c r="B37" s="6">
        <v>46051</v>
      </c>
      <c r="C37" t="s">
        <v>130</v>
      </c>
      <c r="D37" t="s">
        <v>133</v>
      </c>
      <c r="E37" t="s">
        <v>134</v>
      </c>
      <c r="F37">
        <v>200000</v>
      </c>
      <c r="G37">
        <v>200000</v>
      </c>
      <c r="H37" t="s">
        <v>136</v>
      </c>
      <c r="I37">
        <v>53</v>
      </c>
      <c r="J37" t="s">
        <v>188</v>
      </c>
      <c r="K37" s="8" t="s">
        <v>189</v>
      </c>
    </row>
    <row r="38" spans="1:12" x14ac:dyDescent="0.35">
      <c r="A38" t="s">
        <v>42</v>
      </c>
      <c r="B38" s="6">
        <v>46052</v>
      </c>
      <c r="C38" t="s">
        <v>130</v>
      </c>
      <c r="D38" t="s">
        <v>133</v>
      </c>
      <c r="E38" t="s">
        <v>135</v>
      </c>
      <c r="F38">
        <v>200000</v>
      </c>
      <c r="G38">
        <v>50544</v>
      </c>
      <c r="H38" t="s">
        <v>137</v>
      </c>
      <c r="I38">
        <v>52</v>
      </c>
      <c r="J38" t="s">
        <v>188</v>
      </c>
      <c r="K38" s="8" t="s">
        <v>189</v>
      </c>
    </row>
    <row r="39" spans="1:12" x14ac:dyDescent="0.35">
      <c r="A39" t="s">
        <v>43</v>
      </c>
      <c r="B39" s="6">
        <v>46053</v>
      </c>
      <c r="C39" t="s">
        <v>131</v>
      </c>
      <c r="D39" t="s">
        <v>133</v>
      </c>
      <c r="E39" t="s">
        <v>141</v>
      </c>
      <c r="F39">
        <v>50000</v>
      </c>
      <c r="G39">
        <v>50000</v>
      </c>
      <c r="H39" t="s">
        <v>136</v>
      </c>
      <c r="I39">
        <v>51</v>
      </c>
      <c r="J39" t="s">
        <v>188</v>
      </c>
      <c r="K39" s="8" t="s">
        <v>189</v>
      </c>
    </row>
    <row r="40" spans="1:12" x14ac:dyDescent="0.35">
      <c r="A40" t="s">
        <v>44</v>
      </c>
      <c r="B40" s="6">
        <v>45689</v>
      </c>
      <c r="C40" t="s">
        <v>131</v>
      </c>
      <c r="D40" t="s">
        <v>132</v>
      </c>
      <c r="E40" t="s">
        <v>134</v>
      </c>
      <c r="F40">
        <v>200000</v>
      </c>
      <c r="G40">
        <v>200000</v>
      </c>
      <c r="H40" t="s">
        <v>136</v>
      </c>
      <c r="I40">
        <v>415</v>
      </c>
      <c r="J40" t="s">
        <v>144</v>
      </c>
      <c r="K40" s="3" t="s">
        <v>145</v>
      </c>
      <c r="L40" t="s">
        <v>190</v>
      </c>
    </row>
    <row r="41" spans="1:12" x14ac:dyDescent="0.35">
      <c r="A41" t="s">
        <v>45</v>
      </c>
      <c r="B41" s="6">
        <v>45690</v>
      </c>
      <c r="C41" t="s">
        <v>126</v>
      </c>
      <c r="D41" t="s">
        <v>132</v>
      </c>
      <c r="E41" t="s">
        <v>140</v>
      </c>
      <c r="F41">
        <v>200000</v>
      </c>
      <c r="G41">
        <v>200000</v>
      </c>
      <c r="H41" t="s">
        <v>136</v>
      </c>
      <c r="I41">
        <v>414</v>
      </c>
      <c r="J41" t="s">
        <v>144</v>
      </c>
      <c r="K41" s="3" t="s">
        <v>145</v>
      </c>
      <c r="L41" t="s">
        <v>190</v>
      </c>
    </row>
    <row r="42" spans="1:12" x14ac:dyDescent="0.35">
      <c r="A42" t="s">
        <v>46</v>
      </c>
      <c r="B42" s="6">
        <v>45691</v>
      </c>
      <c r="C42" t="s">
        <v>127</v>
      </c>
      <c r="D42" t="s">
        <v>133</v>
      </c>
      <c r="E42" t="s">
        <v>140</v>
      </c>
      <c r="F42">
        <v>300000</v>
      </c>
      <c r="G42">
        <v>41830</v>
      </c>
      <c r="H42" t="s">
        <v>137</v>
      </c>
      <c r="I42">
        <v>413</v>
      </c>
      <c r="J42" t="s">
        <v>144</v>
      </c>
      <c r="K42" s="3" t="s">
        <v>145</v>
      </c>
      <c r="L42" t="s">
        <v>190</v>
      </c>
    </row>
    <row r="43" spans="1:12" x14ac:dyDescent="0.35">
      <c r="A43" t="s">
        <v>47</v>
      </c>
      <c r="B43" s="6">
        <v>45692</v>
      </c>
      <c r="C43" t="s">
        <v>129</v>
      </c>
      <c r="D43" t="s">
        <v>133</v>
      </c>
      <c r="E43" t="s">
        <v>139</v>
      </c>
      <c r="F43">
        <v>50000</v>
      </c>
      <c r="G43">
        <v>6232</v>
      </c>
      <c r="H43" t="s">
        <v>137</v>
      </c>
      <c r="I43">
        <v>412</v>
      </c>
      <c r="J43" t="s">
        <v>144</v>
      </c>
      <c r="K43" s="3" t="s">
        <v>145</v>
      </c>
      <c r="L43" t="s">
        <v>190</v>
      </c>
    </row>
    <row r="44" spans="1:12" x14ac:dyDescent="0.35">
      <c r="A44" t="s">
        <v>48</v>
      </c>
      <c r="B44" s="6">
        <v>45693</v>
      </c>
      <c r="C44" t="s">
        <v>130</v>
      </c>
      <c r="D44" t="s">
        <v>132</v>
      </c>
      <c r="E44" t="s">
        <v>134</v>
      </c>
      <c r="F44">
        <v>150000</v>
      </c>
      <c r="G44">
        <v>90487</v>
      </c>
      <c r="H44" t="s">
        <v>137</v>
      </c>
      <c r="I44">
        <v>411</v>
      </c>
      <c r="J44" t="s">
        <v>144</v>
      </c>
      <c r="K44" s="3" t="s">
        <v>145</v>
      </c>
      <c r="L44" t="s">
        <v>190</v>
      </c>
    </row>
    <row r="45" spans="1:12" x14ac:dyDescent="0.35">
      <c r="A45" t="s">
        <v>49</v>
      </c>
      <c r="B45" s="6">
        <v>45694</v>
      </c>
      <c r="C45" t="s">
        <v>128</v>
      </c>
      <c r="D45" t="s">
        <v>133</v>
      </c>
      <c r="E45" t="s">
        <v>141</v>
      </c>
      <c r="F45">
        <v>75000</v>
      </c>
      <c r="G45">
        <v>75000</v>
      </c>
      <c r="H45" t="s">
        <v>136</v>
      </c>
      <c r="I45">
        <v>410</v>
      </c>
      <c r="J45" t="s">
        <v>144</v>
      </c>
      <c r="K45" s="3" t="s">
        <v>145</v>
      </c>
      <c r="L45" t="s">
        <v>190</v>
      </c>
    </row>
    <row r="46" spans="1:12" x14ac:dyDescent="0.35">
      <c r="A46" t="s">
        <v>50</v>
      </c>
      <c r="B46" s="6">
        <v>45695</v>
      </c>
      <c r="C46" t="s">
        <v>131</v>
      </c>
      <c r="D46" t="s">
        <v>133</v>
      </c>
      <c r="E46" t="s">
        <v>141</v>
      </c>
      <c r="F46">
        <v>150000</v>
      </c>
      <c r="G46">
        <v>150000</v>
      </c>
      <c r="H46" t="s">
        <v>136</v>
      </c>
      <c r="I46">
        <v>409</v>
      </c>
      <c r="J46" t="s">
        <v>144</v>
      </c>
      <c r="K46" s="3" t="s">
        <v>145</v>
      </c>
      <c r="L46" t="s">
        <v>190</v>
      </c>
    </row>
    <row r="47" spans="1:12" x14ac:dyDescent="0.35">
      <c r="A47" t="s">
        <v>51</v>
      </c>
      <c r="B47" s="6">
        <v>45696</v>
      </c>
      <c r="C47" t="s">
        <v>127</v>
      </c>
      <c r="D47" t="s">
        <v>133</v>
      </c>
      <c r="E47" t="s">
        <v>135</v>
      </c>
      <c r="F47">
        <v>200000</v>
      </c>
      <c r="G47">
        <v>200000</v>
      </c>
      <c r="H47" t="s">
        <v>136</v>
      </c>
      <c r="I47">
        <v>408</v>
      </c>
      <c r="J47" t="s">
        <v>144</v>
      </c>
      <c r="K47" s="3" t="s">
        <v>145</v>
      </c>
      <c r="L47" t="s">
        <v>190</v>
      </c>
    </row>
    <row r="48" spans="1:12" x14ac:dyDescent="0.35">
      <c r="A48" t="s">
        <v>52</v>
      </c>
      <c r="B48" s="6">
        <v>45697</v>
      </c>
      <c r="C48" t="s">
        <v>128</v>
      </c>
      <c r="D48" t="s">
        <v>132</v>
      </c>
      <c r="E48" t="s">
        <v>134</v>
      </c>
      <c r="F48">
        <v>300000</v>
      </c>
      <c r="G48">
        <v>71815</v>
      </c>
      <c r="H48" t="s">
        <v>137</v>
      </c>
      <c r="I48">
        <v>407</v>
      </c>
      <c r="J48" t="s">
        <v>144</v>
      </c>
      <c r="K48" s="3" t="s">
        <v>145</v>
      </c>
      <c r="L48" t="s">
        <v>190</v>
      </c>
    </row>
    <row r="49" spans="1:12" x14ac:dyDescent="0.35">
      <c r="A49" t="s">
        <v>53</v>
      </c>
      <c r="B49" s="6">
        <v>45698</v>
      </c>
      <c r="C49" t="s">
        <v>126</v>
      </c>
      <c r="D49" t="s">
        <v>132</v>
      </c>
      <c r="E49" t="s">
        <v>134</v>
      </c>
      <c r="F49">
        <v>200000</v>
      </c>
      <c r="G49">
        <v>61468</v>
      </c>
      <c r="H49" t="s">
        <v>137</v>
      </c>
      <c r="I49">
        <v>406</v>
      </c>
      <c r="J49" t="s">
        <v>144</v>
      </c>
      <c r="K49" s="3" t="s">
        <v>145</v>
      </c>
      <c r="L49" t="s">
        <v>190</v>
      </c>
    </row>
    <row r="50" spans="1:12" x14ac:dyDescent="0.35">
      <c r="A50" t="s">
        <v>54</v>
      </c>
      <c r="B50" s="6">
        <v>45699</v>
      </c>
      <c r="C50" t="s">
        <v>129</v>
      </c>
      <c r="D50" t="s">
        <v>132</v>
      </c>
      <c r="E50" t="s">
        <v>138</v>
      </c>
      <c r="F50">
        <v>300000</v>
      </c>
      <c r="G50">
        <v>110426</v>
      </c>
      <c r="H50" t="s">
        <v>137</v>
      </c>
      <c r="I50">
        <v>405</v>
      </c>
      <c r="J50" t="s">
        <v>144</v>
      </c>
      <c r="K50" s="3" t="s">
        <v>145</v>
      </c>
      <c r="L50" t="s">
        <v>190</v>
      </c>
    </row>
    <row r="51" spans="1:12" x14ac:dyDescent="0.35">
      <c r="A51" t="s">
        <v>55</v>
      </c>
      <c r="B51" s="6">
        <v>45700</v>
      </c>
      <c r="C51" t="s">
        <v>126</v>
      </c>
      <c r="D51" t="s">
        <v>132</v>
      </c>
      <c r="E51" t="s">
        <v>135</v>
      </c>
      <c r="F51">
        <v>100000</v>
      </c>
      <c r="G51">
        <v>100000</v>
      </c>
      <c r="H51" t="s">
        <v>136</v>
      </c>
      <c r="I51">
        <v>404</v>
      </c>
      <c r="J51" t="s">
        <v>144</v>
      </c>
      <c r="K51" s="3" t="s">
        <v>145</v>
      </c>
      <c r="L51" t="s">
        <v>190</v>
      </c>
    </row>
    <row r="52" spans="1:12" x14ac:dyDescent="0.35">
      <c r="A52" t="s">
        <v>56</v>
      </c>
      <c r="B52" s="6">
        <v>45701</v>
      </c>
      <c r="C52" t="s">
        <v>131</v>
      </c>
      <c r="D52" t="s">
        <v>133</v>
      </c>
      <c r="E52" t="s">
        <v>135</v>
      </c>
      <c r="F52">
        <v>50000</v>
      </c>
      <c r="G52">
        <v>50000</v>
      </c>
      <c r="H52" t="s">
        <v>136</v>
      </c>
      <c r="I52">
        <v>403</v>
      </c>
      <c r="J52" t="s">
        <v>144</v>
      </c>
      <c r="K52" s="3" t="s">
        <v>145</v>
      </c>
      <c r="L52" t="s">
        <v>190</v>
      </c>
    </row>
    <row r="53" spans="1:12" x14ac:dyDescent="0.35">
      <c r="A53" t="s">
        <v>57</v>
      </c>
      <c r="B53" s="6">
        <v>45702</v>
      </c>
      <c r="C53" t="s">
        <v>129</v>
      </c>
      <c r="D53" t="s">
        <v>132</v>
      </c>
      <c r="E53" t="s">
        <v>138</v>
      </c>
      <c r="F53">
        <v>100000</v>
      </c>
      <c r="G53">
        <v>10194</v>
      </c>
      <c r="H53" t="s">
        <v>137</v>
      </c>
      <c r="I53">
        <v>402</v>
      </c>
      <c r="J53" t="s">
        <v>144</v>
      </c>
      <c r="K53" s="3" t="s">
        <v>145</v>
      </c>
      <c r="L53" t="s">
        <v>190</v>
      </c>
    </row>
    <row r="54" spans="1:12" x14ac:dyDescent="0.35">
      <c r="A54" t="s">
        <v>58</v>
      </c>
      <c r="B54" s="6">
        <v>45703</v>
      </c>
      <c r="C54" t="s">
        <v>130</v>
      </c>
      <c r="D54" t="s">
        <v>132</v>
      </c>
      <c r="E54" t="s">
        <v>139</v>
      </c>
      <c r="F54">
        <v>50000</v>
      </c>
      <c r="G54">
        <v>10948</v>
      </c>
      <c r="H54" t="s">
        <v>137</v>
      </c>
      <c r="I54">
        <v>401</v>
      </c>
      <c r="J54" t="s">
        <v>144</v>
      </c>
      <c r="K54" s="3" t="s">
        <v>145</v>
      </c>
      <c r="L54" t="s">
        <v>190</v>
      </c>
    </row>
    <row r="55" spans="1:12" x14ac:dyDescent="0.35">
      <c r="A55" t="s">
        <v>59</v>
      </c>
      <c r="B55" s="6">
        <v>45704</v>
      </c>
      <c r="C55" t="s">
        <v>129</v>
      </c>
      <c r="D55" t="s">
        <v>133</v>
      </c>
      <c r="E55" t="s">
        <v>138</v>
      </c>
      <c r="F55">
        <v>300000</v>
      </c>
      <c r="G55">
        <v>300000</v>
      </c>
      <c r="H55" t="s">
        <v>136</v>
      </c>
      <c r="I55">
        <v>400</v>
      </c>
      <c r="J55" t="s">
        <v>144</v>
      </c>
      <c r="K55" s="3" t="s">
        <v>145</v>
      </c>
      <c r="L55" t="s">
        <v>190</v>
      </c>
    </row>
    <row r="56" spans="1:12" x14ac:dyDescent="0.35">
      <c r="A56" t="s">
        <v>60</v>
      </c>
      <c r="B56" s="6">
        <v>45705</v>
      </c>
      <c r="C56" t="s">
        <v>127</v>
      </c>
      <c r="D56" t="s">
        <v>132</v>
      </c>
      <c r="E56" t="s">
        <v>139</v>
      </c>
      <c r="F56">
        <v>200000</v>
      </c>
      <c r="G56">
        <v>200000</v>
      </c>
      <c r="H56" t="s">
        <v>136</v>
      </c>
      <c r="I56">
        <v>399</v>
      </c>
      <c r="J56" t="s">
        <v>144</v>
      </c>
      <c r="K56" s="3" t="s">
        <v>145</v>
      </c>
      <c r="L56" t="s">
        <v>190</v>
      </c>
    </row>
    <row r="57" spans="1:12" x14ac:dyDescent="0.35">
      <c r="A57" t="s">
        <v>61</v>
      </c>
      <c r="B57" s="6">
        <v>45706</v>
      </c>
      <c r="C57" t="s">
        <v>131</v>
      </c>
      <c r="D57" t="s">
        <v>132</v>
      </c>
      <c r="E57" t="s">
        <v>135</v>
      </c>
      <c r="F57">
        <v>150000</v>
      </c>
      <c r="G57">
        <v>150000</v>
      </c>
      <c r="H57" t="s">
        <v>136</v>
      </c>
      <c r="I57">
        <v>398</v>
      </c>
      <c r="J57" t="s">
        <v>144</v>
      </c>
      <c r="K57" s="3" t="s">
        <v>145</v>
      </c>
      <c r="L57" t="s">
        <v>190</v>
      </c>
    </row>
    <row r="58" spans="1:12" x14ac:dyDescent="0.35">
      <c r="A58" t="s">
        <v>62</v>
      </c>
      <c r="B58" s="6">
        <v>45707</v>
      </c>
      <c r="C58" t="s">
        <v>126</v>
      </c>
      <c r="D58" t="s">
        <v>132</v>
      </c>
      <c r="E58" t="s">
        <v>135</v>
      </c>
      <c r="F58">
        <v>150000</v>
      </c>
      <c r="G58">
        <v>123691</v>
      </c>
      <c r="H58" t="s">
        <v>137</v>
      </c>
      <c r="I58">
        <v>397</v>
      </c>
      <c r="J58" t="s">
        <v>144</v>
      </c>
      <c r="K58" s="3" t="s">
        <v>145</v>
      </c>
      <c r="L58" t="s">
        <v>190</v>
      </c>
    </row>
    <row r="59" spans="1:12" x14ac:dyDescent="0.35">
      <c r="A59" t="s">
        <v>63</v>
      </c>
      <c r="B59" s="6">
        <v>45708</v>
      </c>
      <c r="C59" t="s">
        <v>131</v>
      </c>
      <c r="D59" t="s">
        <v>132</v>
      </c>
      <c r="E59" t="s">
        <v>134</v>
      </c>
      <c r="F59">
        <v>100000</v>
      </c>
      <c r="G59">
        <v>100000</v>
      </c>
      <c r="H59" t="s">
        <v>136</v>
      </c>
      <c r="I59">
        <v>396</v>
      </c>
      <c r="J59" t="s">
        <v>144</v>
      </c>
      <c r="K59" s="3" t="s">
        <v>145</v>
      </c>
      <c r="L59" t="s">
        <v>190</v>
      </c>
    </row>
    <row r="60" spans="1:12" x14ac:dyDescent="0.35">
      <c r="A60" t="s">
        <v>64</v>
      </c>
      <c r="B60" s="6">
        <v>45709</v>
      </c>
      <c r="C60" t="s">
        <v>131</v>
      </c>
      <c r="D60" t="s">
        <v>132</v>
      </c>
      <c r="E60" t="s">
        <v>138</v>
      </c>
      <c r="F60">
        <v>50000</v>
      </c>
      <c r="G60">
        <v>50000</v>
      </c>
      <c r="H60" t="s">
        <v>136</v>
      </c>
      <c r="I60">
        <v>395</v>
      </c>
      <c r="J60" t="s">
        <v>144</v>
      </c>
      <c r="K60" s="3" t="s">
        <v>145</v>
      </c>
      <c r="L60" t="s">
        <v>190</v>
      </c>
    </row>
    <row r="61" spans="1:12" x14ac:dyDescent="0.35">
      <c r="A61" t="s">
        <v>65</v>
      </c>
      <c r="B61" s="6">
        <v>45710</v>
      </c>
      <c r="C61" t="s">
        <v>128</v>
      </c>
      <c r="D61" t="s">
        <v>133</v>
      </c>
      <c r="E61" t="s">
        <v>140</v>
      </c>
      <c r="F61">
        <v>300000</v>
      </c>
      <c r="G61">
        <v>300000</v>
      </c>
      <c r="H61" t="s">
        <v>136</v>
      </c>
      <c r="I61">
        <v>394</v>
      </c>
      <c r="J61" t="s">
        <v>144</v>
      </c>
      <c r="K61" s="3" t="s">
        <v>145</v>
      </c>
      <c r="L61" t="s">
        <v>190</v>
      </c>
    </row>
    <row r="62" spans="1:12" x14ac:dyDescent="0.35">
      <c r="A62" t="s">
        <v>66</v>
      </c>
      <c r="B62" s="6">
        <v>45711</v>
      </c>
      <c r="C62" t="s">
        <v>129</v>
      </c>
      <c r="D62" t="s">
        <v>132</v>
      </c>
      <c r="E62" t="s">
        <v>138</v>
      </c>
      <c r="F62">
        <v>300000</v>
      </c>
      <c r="G62">
        <v>300000</v>
      </c>
      <c r="H62" t="s">
        <v>136</v>
      </c>
      <c r="I62">
        <v>393</v>
      </c>
      <c r="J62" t="s">
        <v>144</v>
      </c>
      <c r="K62" s="3" t="s">
        <v>145</v>
      </c>
      <c r="L62" t="s">
        <v>190</v>
      </c>
    </row>
    <row r="63" spans="1:12" x14ac:dyDescent="0.35">
      <c r="A63" t="s">
        <v>67</v>
      </c>
      <c r="B63" s="6">
        <v>45712</v>
      </c>
      <c r="C63" t="s">
        <v>129</v>
      </c>
      <c r="D63" t="s">
        <v>132</v>
      </c>
      <c r="E63" t="s">
        <v>141</v>
      </c>
      <c r="F63">
        <v>75000</v>
      </c>
      <c r="G63">
        <v>8805</v>
      </c>
      <c r="H63" t="s">
        <v>137</v>
      </c>
      <c r="I63">
        <v>392</v>
      </c>
      <c r="J63" t="s">
        <v>144</v>
      </c>
      <c r="K63" s="3" t="s">
        <v>145</v>
      </c>
      <c r="L63" t="s">
        <v>190</v>
      </c>
    </row>
    <row r="64" spans="1:12" x14ac:dyDescent="0.35">
      <c r="A64" t="s">
        <v>68</v>
      </c>
      <c r="B64" s="6">
        <v>45713</v>
      </c>
      <c r="C64" t="s">
        <v>127</v>
      </c>
      <c r="D64" t="s">
        <v>132</v>
      </c>
      <c r="E64" t="s">
        <v>140</v>
      </c>
      <c r="F64">
        <v>100000</v>
      </c>
      <c r="G64">
        <v>10613</v>
      </c>
      <c r="H64" t="s">
        <v>137</v>
      </c>
      <c r="I64">
        <v>391</v>
      </c>
      <c r="J64" t="s">
        <v>144</v>
      </c>
      <c r="K64" s="3" t="s">
        <v>145</v>
      </c>
      <c r="L64" t="s">
        <v>190</v>
      </c>
    </row>
    <row r="65" spans="1:12" x14ac:dyDescent="0.35">
      <c r="A65" t="s">
        <v>69</v>
      </c>
      <c r="B65" s="6">
        <v>45714</v>
      </c>
      <c r="C65" t="s">
        <v>130</v>
      </c>
      <c r="D65" t="s">
        <v>132</v>
      </c>
      <c r="E65" t="s">
        <v>141</v>
      </c>
      <c r="F65">
        <v>200000</v>
      </c>
      <c r="G65">
        <v>131923</v>
      </c>
      <c r="H65" t="s">
        <v>137</v>
      </c>
      <c r="I65">
        <v>390</v>
      </c>
      <c r="J65" t="s">
        <v>144</v>
      </c>
      <c r="K65" s="3" t="s">
        <v>145</v>
      </c>
      <c r="L65" t="s">
        <v>190</v>
      </c>
    </row>
    <row r="66" spans="1:12" x14ac:dyDescent="0.35">
      <c r="A66" t="s">
        <v>70</v>
      </c>
      <c r="B66" s="6">
        <v>45715</v>
      </c>
      <c r="C66" t="s">
        <v>131</v>
      </c>
      <c r="D66" t="s">
        <v>132</v>
      </c>
      <c r="E66" t="s">
        <v>141</v>
      </c>
      <c r="F66">
        <v>50000</v>
      </c>
      <c r="G66">
        <v>50000</v>
      </c>
      <c r="H66" t="s">
        <v>136</v>
      </c>
      <c r="I66">
        <v>389</v>
      </c>
      <c r="J66" t="s">
        <v>144</v>
      </c>
      <c r="K66" s="3" t="s">
        <v>145</v>
      </c>
      <c r="L66" t="s">
        <v>190</v>
      </c>
    </row>
    <row r="67" spans="1:12" x14ac:dyDescent="0.35">
      <c r="A67" t="s">
        <v>71</v>
      </c>
      <c r="B67" s="6">
        <v>45716</v>
      </c>
      <c r="C67" t="s">
        <v>126</v>
      </c>
      <c r="D67" t="s">
        <v>132</v>
      </c>
      <c r="E67" t="s">
        <v>134</v>
      </c>
      <c r="F67">
        <v>200000</v>
      </c>
      <c r="G67">
        <v>170656</v>
      </c>
      <c r="H67" t="s">
        <v>137</v>
      </c>
      <c r="I67">
        <v>388</v>
      </c>
      <c r="J67" t="s">
        <v>144</v>
      </c>
      <c r="K67" s="3" t="s">
        <v>145</v>
      </c>
      <c r="L67" t="s">
        <v>190</v>
      </c>
    </row>
    <row r="68" spans="1:12" x14ac:dyDescent="0.35">
      <c r="A68" t="s">
        <v>72</v>
      </c>
      <c r="B68" s="6">
        <v>45717</v>
      </c>
      <c r="C68" t="s">
        <v>131</v>
      </c>
      <c r="D68" t="s">
        <v>133</v>
      </c>
      <c r="E68" t="s">
        <v>138</v>
      </c>
      <c r="F68">
        <v>50000</v>
      </c>
      <c r="G68">
        <v>5705</v>
      </c>
      <c r="H68" t="s">
        <v>137</v>
      </c>
      <c r="I68">
        <v>387</v>
      </c>
      <c r="J68" t="s">
        <v>144</v>
      </c>
      <c r="K68" s="3" t="s">
        <v>145</v>
      </c>
      <c r="L68" t="s">
        <v>190</v>
      </c>
    </row>
    <row r="69" spans="1:12" x14ac:dyDescent="0.35">
      <c r="A69" t="s">
        <v>73</v>
      </c>
      <c r="B69" s="6">
        <v>45718</v>
      </c>
      <c r="C69" t="s">
        <v>131</v>
      </c>
      <c r="D69" t="s">
        <v>133</v>
      </c>
      <c r="E69" t="s">
        <v>138</v>
      </c>
      <c r="F69">
        <v>50000</v>
      </c>
      <c r="G69">
        <v>50000</v>
      </c>
      <c r="H69" t="s">
        <v>136</v>
      </c>
      <c r="I69">
        <v>386</v>
      </c>
      <c r="J69" t="s">
        <v>144</v>
      </c>
      <c r="K69" s="3" t="s">
        <v>145</v>
      </c>
      <c r="L69" t="s">
        <v>190</v>
      </c>
    </row>
    <row r="70" spans="1:12" x14ac:dyDescent="0.35">
      <c r="A70" t="s">
        <v>74</v>
      </c>
      <c r="B70" s="6">
        <v>45719</v>
      </c>
      <c r="C70" t="s">
        <v>126</v>
      </c>
      <c r="D70" t="s">
        <v>132</v>
      </c>
      <c r="E70" t="s">
        <v>139</v>
      </c>
      <c r="F70">
        <v>100000</v>
      </c>
      <c r="G70">
        <v>78528</v>
      </c>
      <c r="H70" t="s">
        <v>137</v>
      </c>
      <c r="I70">
        <v>385</v>
      </c>
      <c r="J70" t="s">
        <v>144</v>
      </c>
      <c r="K70" s="3" t="s">
        <v>145</v>
      </c>
      <c r="L70" t="s">
        <v>190</v>
      </c>
    </row>
    <row r="71" spans="1:12" x14ac:dyDescent="0.35">
      <c r="A71" t="s">
        <v>75</v>
      </c>
      <c r="B71" s="6">
        <v>45720</v>
      </c>
      <c r="C71" t="s">
        <v>131</v>
      </c>
      <c r="D71" t="s">
        <v>133</v>
      </c>
      <c r="E71" t="s">
        <v>135</v>
      </c>
      <c r="F71">
        <v>100000</v>
      </c>
      <c r="G71">
        <v>100000</v>
      </c>
      <c r="H71" t="s">
        <v>136</v>
      </c>
      <c r="I71">
        <v>384</v>
      </c>
      <c r="J71" t="s">
        <v>144</v>
      </c>
      <c r="K71" s="3" t="s">
        <v>145</v>
      </c>
      <c r="L71" t="s">
        <v>190</v>
      </c>
    </row>
    <row r="72" spans="1:12" x14ac:dyDescent="0.35">
      <c r="A72" t="s">
        <v>76</v>
      </c>
      <c r="B72" s="6">
        <v>45721</v>
      </c>
      <c r="C72" t="s">
        <v>130</v>
      </c>
      <c r="D72" t="s">
        <v>133</v>
      </c>
      <c r="E72" t="s">
        <v>140</v>
      </c>
      <c r="F72">
        <v>50000</v>
      </c>
      <c r="G72">
        <v>6928</v>
      </c>
      <c r="H72" t="s">
        <v>137</v>
      </c>
      <c r="I72">
        <v>383</v>
      </c>
      <c r="J72" t="s">
        <v>144</v>
      </c>
      <c r="K72" s="3" t="s">
        <v>145</v>
      </c>
      <c r="L72" t="s">
        <v>190</v>
      </c>
    </row>
    <row r="73" spans="1:12" x14ac:dyDescent="0.35">
      <c r="A73" t="s">
        <v>77</v>
      </c>
      <c r="B73" s="6">
        <v>45722</v>
      </c>
      <c r="C73" t="s">
        <v>129</v>
      </c>
      <c r="D73" t="s">
        <v>132</v>
      </c>
      <c r="E73" t="s">
        <v>138</v>
      </c>
      <c r="F73">
        <v>200000</v>
      </c>
      <c r="G73">
        <v>200000</v>
      </c>
      <c r="H73" t="s">
        <v>136</v>
      </c>
      <c r="I73">
        <v>382</v>
      </c>
      <c r="J73" t="s">
        <v>144</v>
      </c>
      <c r="K73" s="3" t="s">
        <v>145</v>
      </c>
      <c r="L73" t="s">
        <v>190</v>
      </c>
    </row>
    <row r="74" spans="1:12" x14ac:dyDescent="0.35">
      <c r="A74" t="s">
        <v>78</v>
      </c>
      <c r="B74" s="6">
        <v>45723</v>
      </c>
      <c r="C74" t="s">
        <v>129</v>
      </c>
      <c r="D74" t="s">
        <v>133</v>
      </c>
      <c r="E74" t="s">
        <v>140</v>
      </c>
      <c r="F74">
        <v>50000</v>
      </c>
      <c r="G74">
        <v>50000</v>
      </c>
      <c r="H74" t="s">
        <v>136</v>
      </c>
      <c r="I74">
        <v>381</v>
      </c>
      <c r="J74" t="s">
        <v>144</v>
      </c>
      <c r="K74" s="3" t="s">
        <v>145</v>
      </c>
      <c r="L74" t="s">
        <v>190</v>
      </c>
    </row>
    <row r="75" spans="1:12" x14ac:dyDescent="0.35">
      <c r="A75" t="s">
        <v>79</v>
      </c>
      <c r="B75" s="6">
        <v>45724</v>
      </c>
      <c r="C75" t="s">
        <v>129</v>
      </c>
      <c r="D75" t="s">
        <v>132</v>
      </c>
      <c r="E75" t="s">
        <v>135</v>
      </c>
      <c r="F75">
        <v>100000</v>
      </c>
      <c r="G75">
        <v>93652</v>
      </c>
      <c r="H75" t="s">
        <v>137</v>
      </c>
      <c r="I75">
        <v>380</v>
      </c>
      <c r="J75" t="s">
        <v>144</v>
      </c>
      <c r="K75" s="3" t="s">
        <v>145</v>
      </c>
      <c r="L75" t="s">
        <v>190</v>
      </c>
    </row>
    <row r="76" spans="1:12" x14ac:dyDescent="0.35">
      <c r="A76" t="s">
        <v>80</v>
      </c>
      <c r="B76" s="6">
        <v>45725</v>
      </c>
      <c r="C76" t="s">
        <v>128</v>
      </c>
      <c r="D76" t="s">
        <v>132</v>
      </c>
      <c r="E76" t="s">
        <v>135</v>
      </c>
      <c r="F76">
        <v>150000</v>
      </c>
      <c r="G76">
        <v>150000</v>
      </c>
      <c r="H76" t="s">
        <v>136</v>
      </c>
      <c r="I76">
        <v>379</v>
      </c>
      <c r="J76" t="s">
        <v>144</v>
      </c>
      <c r="K76" s="3" t="s">
        <v>145</v>
      </c>
      <c r="L76" t="s">
        <v>190</v>
      </c>
    </row>
    <row r="77" spans="1:12" x14ac:dyDescent="0.35">
      <c r="A77" t="s">
        <v>81</v>
      </c>
      <c r="B77" s="6">
        <v>45726</v>
      </c>
      <c r="C77" t="s">
        <v>129</v>
      </c>
      <c r="D77" t="s">
        <v>133</v>
      </c>
      <c r="E77" t="s">
        <v>140</v>
      </c>
      <c r="F77">
        <v>200000</v>
      </c>
      <c r="G77">
        <v>166415</v>
      </c>
      <c r="H77" t="s">
        <v>137</v>
      </c>
      <c r="I77">
        <v>378</v>
      </c>
      <c r="J77" t="s">
        <v>144</v>
      </c>
      <c r="K77" s="3" t="s">
        <v>145</v>
      </c>
      <c r="L77" t="s">
        <v>190</v>
      </c>
    </row>
    <row r="78" spans="1:12" x14ac:dyDescent="0.35">
      <c r="A78" t="s">
        <v>82</v>
      </c>
      <c r="B78" s="6">
        <v>45727</v>
      </c>
      <c r="C78" t="s">
        <v>131</v>
      </c>
      <c r="D78" t="s">
        <v>132</v>
      </c>
      <c r="E78" t="s">
        <v>141</v>
      </c>
      <c r="F78">
        <v>100000</v>
      </c>
      <c r="G78">
        <v>100000</v>
      </c>
      <c r="H78" t="s">
        <v>136</v>
      </c>
      <c r="I78">
        <v>377</v>
      </c>
      <c r="J78" t="s">
        <v>144</v>
      </c>
      <c r="K78" s="3" t="s">
        <v>145</v>
      </c>
      <c r="L78" t="s">
        <v>190</v>
      </c>
    </row>
    <row r="79" spans="1:12" x14ac:dyDescent="0.35">
      <c r="A79" t="s">
        <v>83</v>
      </c>
      <c r="B79" s="6">
        <v>45728</v>
      </c>
      <c r="C79" t="s">
        <v>127</v>
      </c>
      <c r="D79" t="s">
        <v>132</v>
      </c>
      <c r="E79" t="s">
        <v>135</v>
      </c>
      <c r="F79">
        <v>100000</v>
      </c>
      <c r="G79">
        <v>100000</v>
      </c>
      <c r="H79" t="s">
        <v>136</v>
      </c>
      <c r="I79">
        <v>376</v>
      </c>
      <c r="J79" t="s">
        <v>144</v>
      </c>
      <c r="K79" s="3" t="s">
        <v>145</v>
      </c>
      <c r="L79" t="s">
        <v>190</v>
      </c>
    </row>
    <row r="80" spans="1:12" x14ac:dyDescent="0.35">
      <c r="A80" t="s">
        <v>84</v>
      </c>
      <c r="B80" s="6">
        <v>45729</v>
      </c>
      <c r="C80" t="s">
        <v>128</v>
      </c>
      <c r="D80" t="s">
        <v>132</v>
      </c>
      <c r="E80" t="s">
        <v>141</v>
      </c>
      <c r="F80">
        <v>100000</v>
      </c>
      <c r="G80">
        <v>100000</v>
      </c>
      <c r="H80" t="s">
        <v>136</v>
      </c>
      <c r="I80">
        <v>375</v>
      </c>
      <c r="J80" t="s">
        <v>144</v>
      </c>
      <c r="K80" s="3" t="s">
        <v>145</v>
      </c>
      <c r="L80" t="s">
        <v>190</v>
      </c>
    </row>
    <row r="81" spans="1:12" x14ac:dyDescent="0.35">
      <c r="A81" t="s">
        <v>85</v>
      </c>
      <c r="B81" s="6">
        <v>45730</v>
      </c>
      <c r="C81" t="s">
        <v>128</v>
      </c>
      <c r="D81" t="s">
        <v>132</v>
      </c>
      <c r="E81" t="s">
        <v>138</v>
      </c>
      <c r="F81">
        <v>100000</v>
      </c>
      <c r="G81">
        <v>100000</v>
      </c>
      <c r="H81" t="s">
        <v>136</v>
      </c>
      <c r="I81">
        <v>374</v>
      </c>
      <c r="J81" t="s">
        <v>144</v>
      </c>
      <c r="K81" s="3" t="s">
        <v>145</v>
      </c>
      <c r="L81" t="s">
        <v>190</v>
      </c>
    </row>
    <row r="82" spans="1:12" x14ac:dyDescent="0.35">
      <c r="A82" t="s">
        <v>86</v>
      </c>
      <c r="B82" s="6">
        <v>45731</v>
      </c>
      <c r="C82" t="s">
        <v>126</v>
      </c>
      <c r="D82" t="s">
        <v>133</v>
      </c>
      <c r="E82" t="s">
        <v>139</v>
      </c>
      <c r="F82">
        <v>300000</v>
      </c>
      <c r="G82">
        <v>43586</v>
      </c>
      <c r="H82" t="s">
        <v>137</v>
      </c>
      <c r="I82">
        <v>373</v>
      </c>
      <c r="J82" t="s">
        <v>144</v>
      </c>
      <c r="K82" s="3" t="s">
        <v>145</v>
      </c>
      <c r="L82" t="s">
        <v>190</v>
      </c>
    </row>
    <row r="83" spans="1:12" x14ac:dyDescent="0.35">
      <c r="A83" t="s">
        <v>87</v>
      </c>
      <c r="B83" s="6">
        <v>45732</v>
      </c>
      <c r="C83" t="s">
        <v>126</v>
      </c>
      <c r="D83" t="s">
        <v>132</v>
      </c>
      <c r="E83" t="s">
        <v>135</v>
      </c>
      <c r="F83">
        <v>100000</v>
      </c>
      <c r="G83">
        <v>100000</v>
      </c>
      <c r="H83" t="s">
        <v>136</v>
      </c>
      <c r="I83">
        <v>372</v>
      </c>
      <c r="J83" t="s">
        <v>144</v>
      </c>
      <c r="K83" s="3" t="s">
        <v>145</v>
      </c>
      <c r="L83" t="s">
        <v>190</v>
      </c>
    </row>
    <row r="84" spans="1:12" x14ac:dyDescent="0.35">
      <c r="A84" t="s">
        <v>88</v>
      </c>
      <c r="B84" s="6">
        <v>45733</v>
      </c>
      <c r="C84" t="s">
        <v>131</v>
      </c>
      <c r="D84" t="s">
        <v>132</v>
      </c>
      <c r="E84" t="s">
        <v>134</v>
      </c>
      <c r="F84">
        <v>200000</v>
      </c>
      <c r="G84">
        <v>115118</v>
      </c>
      <c r="H84" t="s">
        <v>137</v>
      </c>
      <c r="I84">
        <v>371</v>
      </c>
      <c r="J84" t="s">
        <v>144</v>
      </c>
      <c r="K84" s="3" t="s">
        <v>145</v>
      </c>
      <c r="L84" t="s">
        <v>190</v>
      </c>
    </row>
    <row r="85" spans="1:12" x14ac:dyDescent="0.35">
      <c r="A85" t="s">
        <v>89</v>
      </c>
      <c r="B85" s="6">
        <v>45734</v>
      </c>
      <c r="C85" t="s">
        <v>130</v>
      </c>
      <c r="D85" t="s">
        <v>132</v>
      </c>
      <c r="E85" t="s">
        <v>139</v>
      </c>
      <c r="F85">
        <v>75000</v>
      </c>
      <c r="G85">
        <v>75000</v>
      </c>
      <c r="H85" t="s">
        <v>136</v>
      </c>
      <c r="I85">
        <v>370</v>
      </c>
      <c r="J85" t="s">
        <v>144</v>
      </c>
      <c r="K85" s="3" t="s">
        <v>145</v>
      </c>
      <c r="L85" t="s">
        <v>190</v>
      </c>
    </row>
    <row r="86" spans="1:12" x14ac:dyDescent="0.35">
      <c r="A86" t="s">
        <v>90</v>
      </c>
      <c r="B86" s="6">
        <v>45735</v>
      </c>
      <c r="C86" t="s">
        <v>131</v>
      </c>
      <c r="D86" t="s">
        <v>132</v>
      </c>
      <c r="E86" t="s">
        <v>135</v>
      </c>
      <c r="F86">
        <v>300000</v>
      </c>
      <c r="G86">
        <v>184065</v>
      </c>
      <c r="H86" t="s">
        <v>137</v>
      </c>
      <c r="I86">
        <v>369</v>
      </c>
      <c r="J86" t="s">
        <v>144</v>
      </c>
      <c r="K86" s="3" t="s">
        <v>145</v>
      </c>
      <c r="L86" t="s">
        <v>190</v>
      </c>
    </row>
    <row r="87" spans="1:12" x14ac:dyDescent="0.35">
      <c r="A87" t="s">
        <v>91</v>
      </c>
      <c r="B87" s="6">
        <v>45736</v>
      </c>
      <c r="C87" t="s">
        <v>130</v>
      </c>
      <c r="D87" t="s">
        <v>132</v>
      </c>
      <c r="E87" t="s">
        <v>138</v>
      </c>
      <c r="F87">
        <v>150000</v>
      </c>
      <c r="G87">
        <v>150000</v>
      </c>
      <c r="H87" t="s">
        <v>137</v>
      </c>
      <c r="I87">
        <v>368</v>
      </c>
      <c r="J87" t="s">
        <v>144</v>
      </c>
      <c r="K87" s="3" t="s">
        <v>145</v>
      </c>
      <c r="L87" t="s">
        <v>190</v>
      </c>
    </row>
    <row r="88" spans="1:12" x14ac:dyDescent="0.35">
      <c r="A88" t="s">
        <v>92</v>
      </c>
      <c r="B88" s="6">
        <v>45737</v>
      </c>
      <c r="C88" t="s">
        <v>128</v>
      </c>
      <c r="D88" t="s">
        <v>132</v>
      </c>
      <c r="E88" t="s">
        <v>139</v>
      </c>
      <c r="F88">
        <v>200000</v>
      </c>
      <c r="G88">
        <v>200000</v>
      </c>
      <c r="H88" t="s">
        <v>136</v>
      </c>
      <c r="I88">
        <v>367</v>
      </c>
      <c r="J88" t="s">
        <v>144</v>
      </c>
      <c r="K88" s="3" t="s">
        <v>145</v>
      </c>
      <c r="L88" t="s">
        <v>190</v>
      </c>
    </row>
    <row r="89" spans="1:12" x14ac:dyDescent="0.35">
      <c r="A89" t="s">
        <v>93</v>
      </c>
      <c r="B89" s="6">
        <v>45738</v>
      </c>
      <c r="C89" t="s">
        <v>126</v>
      </c>
      <c r="D89" t="s">
        <v>133</v>
      </c>
      <c r="E89" t="s">
        <v>140</v>
      </c>
      <c r="F89">
        <v>50000</v>
      </c>
      <c r="G89">
        <v>50000</v>
      </c>
      <c r="H89" t="s">
        <v>136</v>
      </c>
      <c r="I89">
        <v>366</v>
      </c>
      <c r="J89" t="s">
        <v>144</v>
      </c>
      <c r="K89" s="3" t="s">
        <v>145</v>
      </c>
      <c r="L89" t="s">
        <v>190</v>
      </c>
    </row>
    <row r="90" spans="1:12" x14ac:dyDescent="0.35">
      <c r="A90" t="s">
        <v>94</v>
      </c>
      <c r="B90" s="6">
        <v>45739</v>
      </c>
      <c r="C90" t="s">
        <v>127</v>
      </c>
      <c r="D90" t="s">
        <v>132</v>
      </c>
      <c r="E90" t="s">
        <v>140</v>
      </c>
      <c r="F90">
        <v>150000</v>
      </c>
      <c r="G90">
        <v>150000</v>
      </c>
      <c r="H90" t="s">
        <v>136</v>
      </c>
      <c r="I90">
        <v>365</v>
      </c>
      <c r="J90" t="s">
        <v>144</v>
      </c>
      <c r="K90" s="3" t="s">
        <v>145</v>
      </c>
      <c r="L90" t="s">
        <v>190</v>
      </c>
    </row>
    <row r="91" spans="1:12" x14ac:dyDescent="0.35">
      <c r="A91" t="s">
        <v>95</v>
      </c>
      <c r="B91" s="6">
        <v>45740</v>
      </c>
      <c r="C91" t="s">
        <v>131</v>
      </c>
      <c r="D91" t="s">
        <v>133</v>
      </c>
      <c r="E91" t="s">
        <v>134</v>
      </c>
      <c r="F91">
        <v>75000</v>
      </c>
      <c r="G91">
        <v>31567</v>
      </c>
      <c r="H91" t="s">
        <v>137</v>
      </c>
      <c r="I91">
        <v>364</v>
      </c>
      <c r="J91" t="s">
        <v>144</v>
      </c>
      <c r="K91" s="3" t="s">
        <v>145</v>
      </c>
      <c r="L91" t="s">
        <v>190</v>
      </c>
    </row>
    <row r="92" spans="1:12" x14ac:dyDescent="0.35">
      <c r="A92" t="s">
        <v>96</v>
      </c>
      <c r="B92" s="6">
        <v>45741</v>
      </c>
      <c r="C92" t="s">
        <v>129</v>
      </c>
      <c r="D92" t="s">
        <v>132</v>
      </c>
      <c r="E92" t="s">
        <v>135</v>
      </c>
      <c r="F92">
        <v>75000</v>
      </c>
      <c r="G92">
        <v>45000</v>
      </c>
      <c r="H92" t="s">
        <v>137</v>
      </c>
      <c r="I92">
        <v>363</v>
      </c>
      <c r="J92" t="s">
        <v>144</v>
      </c>
      <c r="K92" s="3" t="s">
        <v>145</v>
      </c>
      <c r="L92" t="s">
        <v>190</v>
      </c>
    </row>
    <row r="93" spans="1:12" x14ac:dyDescent="0.35">
      <c r="A93" t="s">
        <v>97</v>
      </c>
      <c r="B93" s="6">
        <v>45742</v>
      </c>
      <c r="C93" t="s">
        <v>128</v>
      </c>
      <c r="D93" t="s">
        <v>132</v>
      </c>
      <c r="E93" t="s">
        <v>134</v>
      </c>
      <c r="F93">
        <v>300000</v>
      </c>
      <c r="G93">
        <v>199547</v>
      </c>
      <c r="H93" t="s">
        <v>137</v>
      </c>
      <c r="I93">
        <v>362</v>
      </c>
      <c r="J93" t="s">
        <v>144</v>
      </c>
      <c r="K93" s="3" t="s">
        <v>145</v>
      </c>
      <c r="L93" t="s">
        <v>190</v>
      </c>
    </row>
    <row r="94" spans="1:12" x14ac:dyDescent="0.35">
      <c r="A94" t="s">
        <v>98</v>
      </c>
      <c r="B94" s="6">
        <v>45743</v>
      </c>
      <c r="C94" t="s">
        <v>129</v>
      </c>
      <c r="D94" t="s">
        <v>133</v>
      </c>
      <c r="E94" t="s">
        <v>138</v>
      </c>
      <c r="F94">
        <v>150000</v>
      </c>
      <c r="G94">
        <v>150000</v>
      </c>
      <c r="H94" t="s">
        <v>136</v>
      </c>
      <c r="I94">
        <v>361</v>
      </c>
      <c r="J94" t="s">
        <v>144</v>
      </c>
      <c r="K94" s="3" t="s">
        <v>145</v>
      </c>
      <c r="L94" t="s">
        <v>190</v>
      </c>
    </row>
    <row r="95" spans="1:12" x14ac:dyDescent="0.35">
      <c r="A95" t="s">
        <v>99</v>
      </c>
      <c r="B95" s="6">
        <v>45744</v>
      </c>
      <c r="C95" t="s">
        <v>130</v>
      </c>
      <c r="D95" t="s">
        <v>132</v>
      </c>
      <c r="E95" t="s">
        <v>139</v>
      </c>
      <c r="F95">
        <v>75000</v>
      </c>
      <c r="G95">
        <v>75000</v>
      </c>
      <c r="H95" t="s">
        <v>136</v>
      </c>
      <c r="I95">
        <v>360</v>
      </c>
      <c r="J95" t="s">
        <v>144</v>
      </c>
      <c r="K95" s="3" t="s">
        <v>145</v>
      </c>
      <c r="L95" t="s">
        <v>190</v>
      </c>
    </row>
    <row r="96" spans="1:12" x14ac:dyDescent="0.35">
      <c r="A96" t="s">
        <v>100</v>
      </c>
      <c r="B96" s="6">
        <v>45745</v>
      </c>
      <c r="C96" t="s">
        <v>131</v>
      </c>
      <c r="D96" t="s">
        <v>133</v>
      </c>
      <c r="E96" t="s">
        <v>135</v>
      </c>
      <c r="F96">
        <v>50000</v>
      </c>
      <c r="G96">
        <v>25000</v>
      </c>
      <c r="H96" t="s">
        <v>137</v>
      </c>
      <c r="I96">
        <v>359</v>
      </c>
      <c r="J96" t="s">
        <v>144</v>
      </c>
      <c r="K96" s="3" t="s">
        <v>145</v>
      </c>
      <c r="L96" t="s">
        <v>190</v>
      </c>
    </row>
    <row r="97" spans="1:12" x14ac:dyDescent="0.35">
      <c r="A97" t="s">
        <v>101</v>
      </c>
      <c r="B97" s="6">
        <v>45746</v>
      </c>
      <c r="C97" t="s">
        <v>126</v>
      </c>
      <c r="D97" t="s">
        <v>133</v>
      </c>
      <c r="E97" t="s">
        <v>138</v>
      </c>
      <c r="F97">
        <v>150000</v>
      </c>
      <c r="G97">
        <v>150000</v>
      </c>
      <c r="H97" t="s">
        <v>136</v>
      </c>
      <c r="I97">
        <v>358</v>
      </c>
      <c r="J97" t="s">
        <v>144</v>
      </c>
      <c r="K97" s="3" t="s">
        <v>145</v>
      </c>
      <c r="L97" t="s">
        <v>190</v>
      </c>
    </row>
    <row r="98" spans="1:12" x14ac:dyDescent="0.35">
      <c r="A98" t="s">
        <v>102</v>
      </c>
      <c r="B98" s="6">
        <v>45747</v>
      </c>
      <c r="C98" t="s">
        <v>131</v>
      </c>
      <c r="D98" t="s">
        <v>133</v>
      </c>
      <c r="E98" t="s">
        <v>134</v>
      </c>
      <c r="F98">
        <v>200000</v>
      </c>
      <c r="G98">
        <v>200000</v>
      </c>
      <c r="H98" t="s">
        <v>136</v>
      </c>
      <c r="I98">
        <v>357</v>
      </c>
      <c r="J98" t="s">
        <v>144</v>
      </c>
      <c r="K98" s="3" t="s">
        <v>145</v>
      </c>
      <c r="L98" t="s">
        <v>190</v>
      </c>
    </row>
    <row r="99" spans="1:12" x14ac:dyDescent="0.35">
      <c r="A99" t="s">
        <v>103</v>
      </c>
      <c r="B99" s="6">
        <v>45748</v>
      </c>
      <c r="C99" t="s">
        <v>126</v>
      </c>
      <c r="D99" t="s">
        <v>133</v>
      </c>
      <c r="E99" t="s">
        <v>140</v>
      </c>
      <c r="F99">
        <v>150000</v>
      </c>
      <c r="G99">
        <v>29896</v>
      </c>
      <c r="H99" t="s">
        <v>137</v>
      </c>
      <c r="I99">
        <v>356</v>
      </c>
      <c r="J99" t="s">
        <v>144</v>
      </c>
      <c r="K99" s="3" t="s">
        <v>145</v>
      </c>
      <c r="L99" t="s">
        <v>190</v>
      </c>
    </row>
    <row r="100" spans="1:12" x14ac:dyDescent="0.35">
      <c r="A100" t="s">
        <v>104</v>
      </c>
      <c r="B100" s="6">
        <v>45749</v>
      </c>
      <c r="C100" t="s">
        <v>129</v>
      </c>
      <c r="D100" t="s">
        <v>132</v>
      </c>
      <c r="E100" t="s">
        <v>141</v>
      </c>
      <c r="F100">
        <v>100000</v>
      </c>
      <c r="G100">
        <v>66726</v>
      </c>
      <c r="H100" t="s">
        <v>137</v>
      </c>
      <c r="I100">
        <v>355</v>
      </c>
      <c r="J100" t="s">
        <v>144</v>
      </c>
      <c r="K100" s="3" t="s">
        <v>145</v>
      </c>
      <c r="L100" t="s">
        <v>190</v>
      </c>
    </row>
    <row r="101" spans="1:12" x14ac:dyDescent="0.35">
      <c r="A101" t="s">
        <v>105</v>
      </c>
      <c r="B101" s="6">
        <v>45750</v>
      </c>
      <c r="C101" t="s">
        <v>128</v>
      </c>
      <c r="D101" t="s">
        <v>133</v>
      </c>
      <c r="E101" t="s">
        <v>138</v>
      </c>
      <c r="F101">
        <v>50000</v>
      </c>
      <c r="G101">
        <v>50000</v>
      </c>
      <c r="H101" t="s">
        <v>136</v>
      </c>
      <c r="I101">
        <v>354</v>
      </c>
      <c r="J101" t="s">
        <v>144</v>
      </c>
      <c r="K101" s="3" t="s">
        <v>145</v>
      </c>
      <c r="L101" t="s">
        <v>190</v>
      </c>
    </row>
    <row r="102" spans="1:12" x14ac:dyDescent="0.35">
      <c r="A102" t="s">
        <v>106</v>
      </c>
      <c r="B102" s="6">
        <v>45751</v>
      </c>
      <c r="C102" t="s">
        <v>131</v>
      </c>
      <c r="D102" t="s">
        <v>133</v>
      </c>
      <c r="E102" t="s">
        <v>140</v>
      </c>
      <c r="F102">
        <v>300000</v>
      </c>
      <c r="G102">
        <v>300000</v>
      </c>
      <c r="H102" t="s">
        <v>136</v>
      </c>
      <c r="I102">
        <v>353</v>
      </c>
      <c r="J102" t="s">
        <v>144</v>
      </c>
      <c r="K102" s="3" t="s">
        <v>145</v>
      </c>
      <c r="L102" t="s">
        <v>190</v>
      </c>
    </row>
    <row r="103" spans="1:12" x14ac:dyDescent="0.35">
      <c r="A103" t="s">
        <v>107</v>
      </c>
      <c r="B103" s="6">
        <v>45752</v>
      </c>
      <c r="C103" t="s">
        <v>130</v>
      </c>
      <c r="D103" t="s">
        <v>132</v>
      </c>
      <c r="E103" t="s">
        <v>135</v>
      </c>
      <c r="F103">
        <v>100000</v>
      </c>
      <c r="G103">
        <v>14442</v>
      </c>
      <c r="H103" t="s">
        <v>137</v>
      </c>
      <c r="I103">
        <v>352</v>
      </c>
      <c r="J103" t="s">
        <v>144</v>
      </c>
      <c r="K103" s="3" t="s">
        <v>145</v>
      </c>
      <c r="L103" t="s">
        <v>190</v>
      </c>
    </row>
    <row r="104" spans="1:12" x14ac:dyDescent="0.35">
      <c r="A104" t="s">
        <v>108</v>
      </c>
      <c r="B104" s="6">
        <v>45753</v>
      </c>
      <c r="C104" t="s">
        <v>127</v>
      </c>
      <c r="D104" t="s">
        <v>133</v>
      </c>
      <c r="E104" t="s">
        <v>138</v>
      </c>
      <c r="F104">
        <v>50000</v>
      </c>
      <c r="G104">
        <v>16586</v>
      </c>
      <c r="H104" t="s">
        <v>137</v>
      </c>
      <c r="I104">
        <v>351</v>
      </c>
      <c r="J104" t="s">
        <v>144</v>
      </c>
      <c r="K104" s="3" t="s">
        <v>145</v>
      </c>
      <c r="L104" t="s">
        <v>190</v>
      </c>
    </row>
    <row r="105" spans="1:12" x14ac:dyDescent="0.35">
      <c r="A105" t="s">
        <v>109</v>
      </c>
      <c r="B105" s="6">
        <v>45754</v>
      </c>
      <c r="C105" t="s">
        <v>128</v>
      </c>
      <c r="D105" t="s">
        <v>133</v>
      </c>
      <c r="E105" t="s">
        <v>141</v>
      </c>
      <c r="F105">
        <v>200000</v>
      </c>
      <c r="G105">
        <v>158773</v>
      </c>
      <c r="H105" t="s">
        <v>137</v>
      </c>
      <c r="I105">
        <v>350</v>
      </c>
      <c r="J105" t="s">
        <v>144</v>
      </c>
      <c r="K105" s="4" t="s">
        <v>147</v>
      </c>
    </row>
    <row r="106" spans="1:12" x14ac:dyDescent="0.35">
      <c r="A106" t="s">
        <v>110</v>
      </c>
      <c r="B106" s="6">
        <v>45755</v>
      </c>
      <c r="C106" t="s">
        <v>126</v>
      </c>
      <c r="D106" t="s">
        <v>132</v>
      </c>
      <c r="E106" t="s">
        <v>138</v>
      </c>
      <c r="F106">
        <v>75000</v>
      </c>
      <c r="G106">
        <v>75000</v>
      </c>
      <c r="H106" t="s">
        <v>136</v>
      </c>
      <c r="I106">
        <v>349</v>
      </c>
      <c r="J106" t="s">
        <v>144</v>
      </c>
      <c r="K106" s="4" t="s">
        <v>147</v>
      </c>
    </row>
    <row r="107" spans="1:12" x14ac:dyDescent="0.35">
      <c r="A107" t="s">
        <v>111</v>
      </c>
      <c r="B107" s="6">
        <v>45756</v>
      </c>
      <c r="C107" t="s">
        <v>126</v>
      </c>
      <c r="D107" t="s">
        <v>132</v>
      </c>
      <c r="E107" t="s">
        <v>135</v>
      </c>
      <c r="F107">
        <v>75000</v>
      </c>
      <c r="G107">
        <v>75000</v>
      </c>
      <c r="H107" t="s">
        <v>136</v>
      </c>
      <c r="I107">
        <v>348</v>
      </c>
      <c r="J107" t="s">
        <v>144</v>
      </c>
      <c r="K107" s="4" t="s">
        <v>147</v>
      </c>
    </row>
    <row r="108" spans="1:12" x14ac:dyDescent="0.35">
      <c r="A108" t="s">
        <v>112</v>
      </c>
      <c r="B108" s="6">
        <v>45757</v>
      </c>
      <c r="C108" t="s">
        <v>126</v>
      </c>
      <c r="D108" t="s">
        <v>132</v>
      </c>
      <c r="E108" t="s">
        <v>140</v>
      </c>
      <c r="F108">
        <v>50000</v>
      </c>
      <c r="G108">
        <v>50000</v>
      </c>
      <c r="H108" t="s">
        <v>136</v>
      </c>
      <c r="I108">
        <v>347</v>
      </c>
      <c r="J108" t="s">
        <v>144</v>
      </c>
      <c r="K108" s="4" t="s">
        <v>147</v>
      </c>
    </row>
    <row r="109" spans="1:12" x14ac:dyDescent="0.35">
      <c r="A109" t="s">
        <v>113</v>
      </c>
      <c r="B109" s="6">
        <v>45758</v>
      </c>
      <c r="C109" t="s">
        <v>128</v>
      </c>
      <c r="D109" t="s">
        <v>132</v>
      </c>
      <c r="E109" t="s">
        <v>135</v>
      </c>
      <c r="F109">
        <v>50000</v>
      </c>
      <c r="G109">
        <v>50000</v>
      </c>
      <c r="H109" t="s">
        <v>136</v>
      </c>
      <c r="I109">
        <v>346</v>
      </c>
      <c r="J109" t="s">
        <v>144</v>
      </c>
      <c r="K109" s="4" t="s">
        <v>147</v>
      </c>
    </row>
    <row r="110" spans="1:12" x14ac:dyDescent="0.35">
      <c r="A110" t="s">
        <v>114</v>
      </c>
      <c r="B110" s="6">
        <v>45759</v>
      </c>
      <c r="C110" t="s">
        <v>128</v>
      </c>
      <c r="D110" t="s">
        <v>133</v>
      </c>
      <c r="E110" t="s">
        <v>134</v>
      </c>
      <c r="F110">
        <v>50000</v>
      </c>
      <c r="G110">
        <v>50000</v>
      </c>
      <c r="H110" t="s">
        <v>136</v>
      </c>
      <c r="I110">
        <v>345</v>
      </c>
      <c r="J110" t="s">
        <v>144</v>
      </c>
      <c r="K110" s="4" t="s">
        <v>147</v>
      </c>
    </row>
    <row r="111" spans="1:12" x14ac:dyDescent="0.35">
      <c r="A111" t="s">
        <v>115</v>
      </c>
      <c r="B111" s="6">
        <v>45760</v>
      </c>
      <c r="C111" t="s">
        <v>127</v>
      </c>
      <c r="D111" t="s">
        <v>133</v>
      </c>
      <c r="E111" t="s">
        <v>135</v>
      </c>
      <c r="F111">
        <v>100000</v>
      </c>
      <c r="G111">
        <v>11929</v>
      </c>
      <c r="H111" t="s">
        <v>137</v>
      </c>
      <c r="I111">
        <v>344</v>
      </c>
      <c r="J111" t="s">
        <v>144</v>
      </c>
      <c r="K111" s="4" t="s">
        <v>147</v>
      </c>
    </row>
    <row r="112" spans="1:12" x14ac:dyDescent="0.35">
      <c r="A112" t="s">
        <v>116</v>
      </c>
      <c r="B112" s="6">
        <v>45761</v>
      </c>
      <c r="C112" t="s">
        <v>130</v>
      </c>
      <c r="D112" t="s">
        <v>132</v>
      </c>
      <c r="E112" t="s">
        <v>141</v>
      </c>
      <c r="F112">
        <v>150000</v>
      </c>
      <c r="G112">
        <v>135400</v>
      </c>
      <c r="H112" t="s">
        <v>137</v>
      </c>
      <c r="I112">
        <v>343</v>
      </c>
      <c r="J112" t="s">
        <v>144</v>
      </c>
      <c r="K112" s="4" t="s">
        <v>147</v>
      </c>
    </row>
    <row r="113" spans="1:11" x14ac:dyDescent="0.35">
      <c r="A113" t="s">
        <v>117</v>
      </c>
      <c r="B113" s="6">
        <v>45762</v>
      </c>
      <c r="C113" t="s">
        <v>128</v>
      </c>
      <c r="D113" t="s">
        <v>133</v>
      </c>
      <c r="E113" t="s">
        <v>139</v>
      </c>
      <c r="F113">
        <v>150000</v>
      </c>
      <c r="G113">
        <v>150000</v>
      </c>
      <c r="H113" t="s">
        <v>136</v>
      </c>
      <c r="I113">
        <v>342</v>
      </c>
      <c r="J113" t="s">
        <v>144</v>
      </c>
      <c r="K113" s="4" t="s">
        <v>147</v>
      </c>
    </row>
    <row r="114" spans="1:11" x14ac:dyDescent="0.35">
      <c r="A114" t="s">
        <v>118</v>
      </c>
      <c r="B114" s="6">
        <v>45763</v>
      </c>
      <c r="C114" t="s">
        <v>126</v>
      </c>
      <c r="D114" t="s">
        <v>133</v>
      </c>
      <c r="E114" t="s">
        <v>134</v>
      </c>
      <c r="F114">
        <v>300000</v>
      </c>
      <c r="G114">
        <v>145582</v>
      </c>
      <c r="H114" t="s">
        <v>137</v>
      </c>
      <c r="I114">
        <v>341</v>
      </c>
      <c r="J114" t="s">
        <v>144</v>
      </c>
      <c r="K114" s="4" t="s">
        <v>147</v>
      </c>
    </row>
    <row r="115" spans="1:11" x14ac:dyDescent="0.35">
      <c r="A115" t="s">
        <v>119</v>
      </c>
      <c r="B115" s="6">
        <v>45764</v>
      </c>
      <c r="C115" t="s">
        <v>128</v>
      </c>
      <c r="D115" t="s">
        <v>132</v>
      </c>
      <c r="E115" t="s">
        <v>141</v>
      </c>
      <c r="F115">
        <v>150000</v>
      </c>
      <c r="G115">
        <v>150000</v>
      </c>
      <c r="H115" t="s">
        <v>136</v>
      </c>
      <c r="I115">
        <v>340</v>
      </c>
      <c r="J115" t="s">
        <v>144</v>
      </c>
      <c r="K115" s="4" t="s">
        <v>147</v>
      </c>
    </row>
    <row r="116" spans="1:11" x14ac:dyDescent="0.35">
      <c r="A116" t="s">
        <v>120</v>
      </c>
      <c r="B116" s="6">
        <v>45765</v>
      </c>
      <c r="C116" t="s">
        <v>129</v>
      </c>
      <c r="D116" t="s">
        <v>132</v>
      </c>
      <c r="E116" t="s">
        <v>134</v>
      </c>
      <c r="F116">
        <v>200000</v>
      </c>
      <c r="G116">
        <v>200000</v>
      </c>
      <c r="H116" t="s">
        <v>136</v>
      </c>
      <c r="I116">
        <v>339</v>
      </c>
      <c r="J116" t="s">
        <v>144</v>
      </c>
      <c r="K116" s="4" t="s">
        <v>147</v>
      </c>
    </row>
    <row r="117" spans="1:11" x14ac:dyDescent="0.35">
      <c r="A117" t="s">
        <v>121</v>
      </c>
      <c r="B117" s="6">
        <v>45766</v>
      </c>
      <c r="C117" t="s">
        <v>131</v>
      </c>
      <c r="D117" t="s">
        <v>132</v>
      </c>
      <c r="E117" t="s">
        <v>134</v>
      </c>
      <c r="F117">
        <v>200000</v>
      </c>
      <c r="G117">
        <v>200000</v>
      </c>
      <c r="H117" t="s">
        <v>136</v>
      </c>
      <c r="I117">
        <v>338</v>
      </c>
      <c r="J117" t="s">
        <v>144</v>
      </c>
      <c r="K117" s="4" t="s">
        <v>147</v>
      </c>
    </row>
    <row r="118" spans="1:11" x14ac:dyDescent="0.35">
      <c r="A118" t="s">
        <v>122</v>
      </c>
      <c r="B118" s="6">
        <v>45767</v>
      </c>
      <c r="C118" t="s">
        <v>126</v>
      </c>
      <c r="D118" t="s">
        <v>133</v>
      </c>
      <c r="E118" t="s">
        <v>139</v>
      </c>
      <c r="F118">
        <v>50000</v>
      </c>
      <c r="G118">
        <v>7053</v>
      </c>
      <c r="H118" t="s">
        <v>137</v>
      </c>
      <c r="I118">
        <v>337</v>
      </c>
      <c r="J118" t="s">
        <v>144</v>
      </c>
      <c r="K118" s="4" t="s">
        <v>147</v>
      </c>
    </row>
    <row r="119" spans="1:11" x14ac:dyDescent="0.35">
      <c r="A119" t="s">
        <v>123</v>
      </c>
      <c r="B119" s="6">
        <v>45768</v>
      </c>
      <c r="C119" t="s">
        <v>126</v>
      </c>
      <c r="D119" t="s">
        <v>132</v>
      </c>
      <c r="E119" t="s">
        <v>139</v>
      </c>
      <c r="F119">
        <v>50000</v>
      </c>
      <c r="G119">
        <v>50000</v>
      </c>
      <c r="H119" t="s">
        <v>136</v>
      </c>
      <c r="I119">
        <v>336</v>
      </c>
      <c r="J119" t="s">
        <v>144</v>
      </c>
      <c r="K119" s="4" t="s">
        <v>147</v>
      </c>
    </row>
    <row r="120" spans="1:11" x14ac:dyDescent="0.35">
      <c r="A120" t="s">
        <v>124</v>
      </c>
      <c r="B120" s="6">
        <v>45769</v>
      </c>
      <c r="C120" t="s">
        <v>128</v>
      </c>
      <c r="D120" t="s">
        <v>133</v>
      </c>
      <c r="E120" t="s">
        <v>139</v>
      </c>
      <c r="F120">
        <v>150000</v>
      </c>
      <c r="G120">
        <v>130771</v>
      </c>
      <c r="H120" t="s">
        <v>137</v>
      </c>
      <c r="I120">
        <v>335</v>
      </c>
      <c r="J120" t="s">
        <v>144</v>
      </c>
      <c r="K120" s="4" t="s">
        <v>147</v>
      </c>
    </row>
    <row r="121" spans="1:11" x14ac:dyDescent="0.35">
      <c r="A121" t="s">
        <v>125</v>
      </c>
      <c r="B121" s="6">
        <v>45770</v>
      </c>
      <c r="C121" t="s">
        <v>126</v>
      </c>
      <c r="D121" t="s">
        <v>133</v>
      </c>
      <c r="E121" t="s">
        <v>135</v>
      </c>
      <c r="F121">
        <v>50000</v>
      </c>
      <c r="G121">
        <v>28497</v>
      </c>
      <c r="H121" t="s">
        <v>137</v>
      </c>
      <c r="I121">
        <v>334</v>
      </c>
      <c r="J121" t="s">
        <v>144</v>
      </c>
      <c r="K121" s="4" t="s">
        <v>147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9" r:id="rId3" name="Button 5">
              <controlPr defaultSize="0" print="0" autoFill="0" autoPict="0" macro="[0]!Sheet1.UpdateCaseTracking">
                <anchor moveWithCells="1" sizeWithCells="1">
                  <from>
                    <xdr:col>5</xdr:col>
                    <xdr:colOff>1155700</xdr:colOff>
                    <xdr:row>122</xdr:row>
                    <xdr:rowOff>76200</xdr:rowOff>
                  </from>
                  <to>
                    <xdr:col>7</xdr:col>
                    <xdr:colOff>635000</xdr:colOff>
                    <xdr:row>127</xdr:row>
                    <xdr:rowOff>50800</xdr:rowOff>
                  </to>
                </anchor>
              </controlPr>
            </control>
          </mc:Choice>
        </mc:AlternateContent>
      </controls>
    </mc:Choice>
  </mc:AlternateContent>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2E97B-68E9-49A3-A347-762F0D607DE9}">
  <sheetPr codeName="Sheet4"/>
  <dimension ref="A1:D11"/>
  <sheetViews>
    <sheetView zoomScale="93" workbookViewId="0">
      <selection activeCell="B2" sqref="B2"/>
    </sheetView>
  </sheetViews>
  <sheetFormatPr defaultRowHeight="14.5" x14ac:dyDescent="0.35"/>
  <cols>
    <col min="1" max="1" width="22.1796875" customWidth="1"/>
    <col min="2" max="2" width="23.54296875" customWidth="1"/>
    <col min="3" max="3" width="40.453125" customWidth="1"/>
  </cols>
  <sheetData>
    <row r="1" spans="1:4" x14ac:dyDescent="0.35">
      <c r="A1" s="17" t="s">
        <v>150</v>
      </c>
      <c r="B1" s="17" t="s">
        <v>151</v>
      </c>
      <c r="C1" s="12" t="s">
        <v>149</v>
      </c>
    </row>
    <row r="2" spans="1:4" ht="29" x14ac:dyDescent="0.35">
      <c r="A2" s="14" t="s">
        <v>152</v>
      </c>
      <c r="B2" s="15" t="s">
        <v>153</v>
      </c>
      <c r="C2" s="15" t="s">
        <v>154</v>
      </c>
    </row>
    <row r="3" spans="1:4" ht="39" customHeight="1" x14ac:dyDescent="0.35">
      <c r="A3" s="16" t="s">
        <v>155</v>
      </c>
      <c r="B3" s="15" t="s">
        <v>156</v>
      </c>
      <c r="C3" s="15" t="s">
        <v>157</v>
      </c>
    </row>
    <row r="4" spans="1:4" ht="38.5" customHeight="1" x14ac:dyDescent="0.35">
      <c r="A4" s="14" t="s">
        <v>158</v>
      </c>
      <c r="B4" s="15" t="s">
        <v>159</v>
      </c>
      <c r="C4" s="15" t="s">
        <v>160</v>
      </c>
    </row>
    <row r="5" spans="1:4" ht="29" x14ac:dyDescent="0.35">
      <c r="A5" s="14" t="s">
        <v>161</v>
      </c>
      <c r="B5" s="15" t="s">
        <v>162</v>
      </c>
      <c r="C5" s="15" t="s">
        <v>163</v>
      </c>
      <c r="D5" s="18"/>
    </row>
    <row r="6" spans="1:4" ht="29" x14ac:dyDescent="0.35">
      <c r="A6" s="15" t="s">
        <v>167</v>
      </c>
      <c r="B6" s="15" t="s">
        <v>168</v>
      </c>
      <c r="C6" s="14" t="s">
        <v>169</v>
      </c>
    </row>
    <row r="7" spans="1:4" ht="29" x14ac:dyDescent="0.35">
      <c r="A7" s="14" t="s">
        <v>170</v>
      </c>
      <c r="B7" s="15" t="s">
        <v>171</v>
      </c>
      <c r="C7" s="14" t="s">
        <v>172</v>
      </c>
    </row>
    <row r="8" spans="1:4" ht="29" x14ac:dyDescent="0.35">
      <c r="A8" s="14" t="s">
        <v>173</v>
      </c>
      <c r="B8" s="15" t="s">
        <v>174</v>
      </c>
      <c r="C8" s="15" t="s">
        <v>175</v>
      </c>
    </row>
    <row r="9" spans="1:4" ht="29" x14ac:dyDescent="0.35">
      <c r="A9" s="14" t="s">
        <v>176</v>
      </c>
      <c r="B9" s="15" t="s">
        <v>177</v>
      </c>
      <c r="C9" s="14" t="s">
        <v>178</v>
      </c>
    </row>
    <row r="10" spans="1:4" x14ac:dyDescent="0.35">
      <c r="A10" s="20" t="s">
        <v>179</v>
      </c>
      <c r="B10" s="13" t="s">
        <v>180</v>
      </c>
      <c r="C10" s="19" t="s">
        <v>181</v>
      </c>
    </row>
    <row r="11" spans="1:4" ht="29" x14ac:dyDescent="0.35">
      <c r="A11" s="14" t="s">
        <v>182</v>
      </c>
      <c r="B11" s="15" t="s">
        <v>183</v>
      </c>
      <c r="C11" s="15" t="s">
        <v>184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79430-0ADB-48FF-8E9C-B94522302C88}">
  <sheetPr codeName="Sheet2"/>
  <dimension ref="A1:I11"/>
  <sheetViews>
    <sheetView workbookViewId="0">
      <selection activeCell="A7" sqref="A7:D7"/>
    </sheetView>
  </sheetViews>
  <sheetFormatPr defaultRowHeight="14.5" x14ac:dyDescent="0.35"/>
  <cols>
    <col min="1" max="1" width="19.7265625" customWidth="1"/>
    <col min="2" max="2" width="16.54296875" customWidth="1"/>
  </cols>
  <sheetData>
    <row r="1" spans="1:9" ht="14.5" customHeight="1" x14ac:dyDescent="0.35">
      <c r="A1" s="32" t="s">
        <v>164</v>
      </c>
      <c r="B1" s="33"/>
      <c r="C1" s="33"/>
      <c r="D1" s="33"/>
      <c r="E1" s="33"/>
      <c r="F1" s="33"/>
      <c r="G1" s="33"/>
      <c r="H1" s="33"/>
      <c r="I1" s="33"/>
    </row>
    <row r="2" spans="1:9" ht="14.5" customHeight="1" x14ac:dyDescent="0.35">
      <c r="A2" s="33"/>
      <c r="B2" s="33"/>
      <c r="C2" s="33"/>
      <c r="D2" s="33"/>
      <c r="E2" s="33"/>
      <c r="F2" s="33"/>
      <c r="G2" s="33"/>
      <c r="H2" s="33"/>
      <c r="I2" s="33"/>
    </row>
    <row r="3" spans="1:9" x14ac:dyDescent="0.35">
      <c r="A3" s="33"/>
      <c r="B3" s="33"/>
      <c r="C3" s="33"/>
      <c r="D3" s="33"/>
      <c r="E3" s="33"/>
      <c r="F3" s="33"/>
      <c r="G3" s="33"/>
      <c r="H3" s="33"/>
      <c r="I3" s="33"/>
    </row>
    <row r="4" spans="1:9" x14ac:dyDescent="0.35">
      <c r="B4" s="7"/>
    </row>
    <row r="5" spans="1:9" ht="23.5" x14ac:dyDescent="0.55000000000000004">
      <c r="A5" s="9" t="s">
        <v>165</v>
      </c>
      <c r="B5" s="10"/>
    </row>
    <row r="7" spans="1:9" x14ac:dyDescent="0.35">
      <c r="A7" s="34" t="s">
        <v>153</v>
      </c>
      <c r="B7" s="34"/>
      <c r="C7" s="34"/>
      <c r="D7" s="34"/>
    </row>
    <row r="9" spans="1:9" ht="23.5" x14ac:dyDescent="0.55000000000000004">
      <c r="A9" s="9" t="s">
        <v>166</v>
      </c>
    </row>
    <row r="11" spans="1:9" x14ac:dyDescent="0.35">
      <c r="A11" s="11" t="s">
        <v>154</v>
      </c>
      <c r="B11" s="11"/>
      <c r="C11" s="11"/>
      <c r="D11" s="11"/>
      <c r="E11" s="11"/>
    </row>
  </sheetData>
  <mergeCells count="2">
    <mergeCell ref="A1:I3"/>
    <mergeCell ref="A7:D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Sheet2.GetAnswer">
                <anchor moveWithCells="1" sizeWithCells="1">
                  <from>
                    <xdr:col>7</xdr:col>
                    <xdr:colOff>590550</xdr:colOff>
                    <xdr:row>4</xdr:row>
                    <xdr:rowOff>260350</xdr:rowOff>
                  </from>
                  <to>
                    <xdr:col>10</xdr:col>
                    <xdr:colOff>0</xdr:colOff>
                    <xdr:row>7</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AC6BFF-0763-4235-A712-C952B7790F5C}">
  <sheetPr codeName="Sheet3"/>
  <dimension ref="A3:I25"/>
  <sheetViews>
    <sheetView topLeftCell="A4" zoomScale="81" workbookViewId="0">
      <selection activeCell="C22" sqref="C22"/>
    </sheetView>
  </sheetViews>
  <sheetFormatPr defaultRowHeight="14.5" x14ac:dyDescent="0.35"/>
  <cols>
    <col min="1" max="1" width="14" bestFit="1" customWidth="1"/>
    <col min="2" max="2" width="15.36328125" bestFit="1" customWidth="1"/>
    <col min="3" max="3" width="14" bestFit="1" customWidth="1"/>
    <col min="4" max="4" width="15.36328125" bestFit="1" customWidth="1"/>
    <col min="5" max="5" width="14" bestFit="1" customWidth="1"/>
    <col min="6" max="6" width="15.36328125" bestFit="1" customWidth="1"/>
    <col min="7" max="8" width="14" bestFit="1" customWidth="1"/>
    <col min="9" max="9" width="15.36328125" bestFit="1" customWidth="1"/>
    <col min="10" max="10" width="11.81640625" customWidth="1"/>
    <col min="11" max="36" width="4.7265625" bestFit="1" customWidth="1"/>
    <col min="37" max="120" width="6.1796875" bestFit="1" customWidth="1"/>
    <col min="121" max="121" width="10.08984375" bestFit="1" customWidth="1"/>
    <col min="122" max="122" width="16.1796875" bestFit="1" customWidth="1"/>
  </cols>
  <sheetData>
    <row r="3" spans="1:9" x14ac:dyDescent="0.35">
      <c r="A3" s="21" t="s">
        <v>191</v>
      </c>
      <c r="B3" t="s">
        <v>193</v>
      </c>
    </row>
    <row r="4" spans="1:9" x14ac:dyDescent="0.35">
      <c r="A4" s="22" t="s">
        <v>131</v>
      </c>
      <c r="B4">
        <v>27</v>
      </c>
      <c r="E4" s="21" t="s">
        <v>191</v>
      </c>
      <c r="F4" t="s">
        <v>194</v>
      </c>
      <c r="G4" s="21" t="s">
        <v>191</v>
      </c>
      <c r="H4" t="s">
        <v>195</v>
      </c>
      <c r="I4" t="s">
        <v>196</v>
      </c>
    </row>
    <row r="5" spans="1:9" x14ac:dyDescent="0.35">
      <c r="A5" s="22" t="s">
        <v>129</v>
      </c>
      <c r="B5">
        <v>18</v>
      </c>
      <c r="E5" s="22" t="s">
        <v>136</v>
      </c>
      <c r="F5" s="35">
        <v>64</v>
      </c>
      <c r="G5" s="22" t="s">
        <v>131</v>
      </c>
      <c r="H5">
        <v>3425000</v>
      </c>
      <c r="I5">
        <v>2647668</v>
      </c>
    </row>
    <row r="6" spans="1:9" x14ac:dyDescent="0.35">
      <c r="A6" s="22" t="s">
        <v>127</v>
      </c>
      <c r="B6">
        <v>13</v>
      </c>
      <c r="E6" s="22" t="s">
        <v>137</v>
      </c>
      <c r="F6" s="35">
        <v>56</v>
      </c>
      <c r="G6" s="22" t="s">
        <v>129</v>
      </c>
      <c r="H6">
        <v>3000000</v>
      </c>
      <c r="I6">
        <v>2463304</v>
      </c>
    </row>
    <row r="7" spans="1:9" x14ac:dyDescent="0.35">
      <c r="A7" s="22" t="s">
        <v>128</v>
      </c>
      <c r="B7">
        <v>21</v>
      </c>
      <c r="E7" s="22" t="s">
        <v>192</v>
      </c>
      <c r="F7" s="35">
        <v>120</v>
      </c>
      <c r="G7" s="22" t="s">
        <v>127</v>
      </c>
      <c r="H7">
        <v>1800000</v>
      </c>
      <c r="I7">
        <v>1092230</v>
      </c>
    </row>
    <row r="8" spans="1:9" x14ac:dyDescent="0.35">
      <c r="A8" s="22" t="s">
        <v>126</v>
      </c>
      <c r="B8">
        <v>22</v>
      </c>
      <c r="G8" s="22" t="s">
        <v>128</v>
      </c>
      <c r="H8">
        <v>3225000</v>
      </c>
      <c r="I8">
        <v>2366896</v>
      </c>
    </row>
    <row r="9" spans="1:9" x14ac:dyDescent="0.35">
      <c r="A9" s="22" t="s">
        <v>130</v>
      </c>
      <c r="B9">
        <v>19</v>
      </c>
      <c r="G9" s="22" t="s">
        <v>126</v>
      </c>
      <c r="H9">
        <v>3025000</v>
      </c>
      <c r="I9">
        <v>2052618</v>
      </c>
    </row>
    <row r="10" spans="1:9" x14ac:dyDescent="0.35">
      <c r="A10" s="22" t="s">
        <v>204</v>
      </c>
      <c r="G10" s="22" t="s">
        <v>130</v>
      </c>
      <c r="H10">
        <v>2550000</v>
      </c>
      <c r="I10">
        <v>1756015</v>
      </c>
    </row>
    <row r="11" spans="1:9" x14ac:dyDescent="0.35">
      <c r="A11" s="22" t="s">
        <v>192</v>
      </c>
      <c r="B11">
        <v>120</v>
      </c>
      <c r="G11" s="22" t="s">
        <v>192</v>
      </c>
      <c r="H11">
        <v>17025000</v>
      </c>
      <c r="I11">
        <v>12378731</v>
      </c>
    </row>
    <row r="13" spans="1:9" x14ac:dyDescent="0.35">
      <c r="A13" s="21" t="s">
        <v>191</v>
      </c>
      <c r="B13" t="s">
        <v>194</v>
      </c>
      <c r="C13" s="21" t="s">
        <v>191</v>
      </c>
      <c r="D13" t="s">
        <v>194</v>
      </c>
    </row>
    <row r="14" spans="1:9" x14ac:dyDescent="0.35">
      <c r="A14" s="22" t="s">
        <v>145</v>
      </c>
      <c r="B14">
        <v>66</v>
      </c>
      <c r="C14" s="22" t="s">
        <v>148</v>
      </c>
      <c r="D14">
        <v>2</v>
      </c>
      <c r="E14" s="21" t="s">
        <v>191</v>
      </c>
      <c r="F14" t="s">
        <v>194</v>
      </c>
      <c r="H14" s="21" t="s">
        <v>191</v>
      </c>
      <c r="I14" t="s">
        <v>194</v>
      </c>
    </row>
    <row r="15" spans="1:9" x14ac:dyDescent="0.35">
      <c r="A15" s="22" t="s">
        <v>189</v>
      </c>
      <c r="B15">
        <v>35</v>
      </c>
      <c r="C15" s="22" t="s">
        <v>144</v>
      </c>
      <c r="D15">
        <v>83</v>
      </c>
      <c r="E15" s="22" t="s">
        <v>132</v>
      </c>
      <c r="F15">
        <v>69</v>
      </c>
      <c r="H15" s="22" t="s">
        <v>197</v>
      </c>
      <c r="I15">
        <v>88</v>
      </c>
    </row>
    <row r="16" spans="1:9" x14ac:dyDescent="0.35">
      <c r="A16" s="22" t="s">
        <v>147</v>
      </c>
      <c r="B16">
        <v>19</v>
      </c>
      <c r="C16" s="22" t="s">
        <v>188</v>
      </c>
      <c r="D16">
        <v>35</v>
      </c>
      <c r="E16" s="22" t="s">
        <v>133</v>
      </c>
      <c r="F16">
        <v>51</v>
      </c>
      <c r="H16" s="22" t="s">
        <v>198</v>
      </c>
      <c r="I16">
        <v>32</v>
      </c>
    </row>
    <row r="17" spans="1:9" x14ac:dyDescent="0.35">
      <c r="A17" s="22" t="s">
        <v>192</v>
      </c>
      <c r="B17">
        <v>120</v>
      </c>
      <c r="C17" s="22" t="s">
        <v>192</v>
      </c>
      <c r="D17">
        <v>120</v>
      </c>
      <c r="E17" s="22" t="s">
        <v>192</v>
      </c>
      <c r="F17">
        <v>120</v>
      </c>
      <c r="H17" s="22" t="s">
        <v>192</v>
      </c>
      <c r="I17">
        <v>120</v>
      </c>
    </row>
    <row r="19" spans="1:9" x14ac:dyDescent="0.35">
      <c r="B19" t="s">
        <v>214</v>
      </c>
      <c r="C19" s="22" t="s">
        <v>215</v>
      </c>
    </row>
    <row r="20" spans="1:9" x14ac:dyDescent="0.35">
      <c r="B20" t="s">
        <v>216</v>
      </c>
      <c r="C20" s="22"/>
      <c r="D20">
        <v>27</v>
      </c>
    </row>
    <row r="21" spans="1:9" x14ac:dyDescent="0.35">
      <c r="C21" s="22" t="s">
        <v>129</v>
      </c>
      <c r="D21">
        <v>18</v>
      </c>
    </row>
    <row r="22" spans="1:9" x14ac:dyDescent="0.35">
      <c r="C22" s="22" t="s">
        <v>127</v>
      </c>
      <c r="D22">
        <v>13</v>
      </c>
    </row>
    <row r="23" spans="1:9" x14ac:dyDescent="0.35">
      <c r="C23" s="22" t="s">
        <v>128</v>
      </c>
      <c r="D23">
        <v>21</v>
      </c>
    </row>
    <row r="24" spans="1:9" x14ac:dyDescent="0.35">
      <c r="C24" s="22" t="s">
        <v>126</v>
      </c>
      <c r="D24">
        <v>22</v>
      </c>
    </row>
    <row r="25" spans="1:9" x14ac:dyDescent="0.35">
      <c r="C25" s="22" t="s">
        <v>130</v>
      </c>
      <c r="D25">
        <v>19</v>
      </c>
    </row>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3CD95-7521-4ED6-9845-A64C8E7B33D9}">
  <sheetPr codeName="Sheet5"/>
  <dimension ref="B1:S6"/>
  <sheetViews>
    <sheetView showRowColHeaders="0" tabSelected="1" zoomScale="26" workbookViewId="0">
      <selection activeCell="AO49" sqref="AO49"/>
    </sheetView>
  </sheetViews>
  <sheetFormatPr defaultRowHeight="14.5" x14ac:dyDescent="0.35"/>
  <cols>
    <col min="2" max="2" width="11.81640625" customWidth="1"/>
    <col min="3" max="3" width="13.6328125" customWidth="1"/>
    <col min="5" max="5" width="17.54296875" customWidth="1"/>
  </cols>
  <sheetData>
    <row r="1" spans="2:19" ht="14.5" customHeight="1" x14ac:dyDescent="0.35">
      <c r="B1" s="23"/>
      <c r="C1" s="23"/>
      <c r="D1" s="23"/>
      <c r="E1" s="23"/>
      <c r="F1" s="23"/>
      <c r="G1" s="23"/>
      <c r="H1" s="23"/>
      <c r="I1" s="23"/>
      <c r="J1" s="23"/>
      <c r="K1" s="23"/>
      <c r="L1" s="23"/>
      <c r="M1" s="23"/>
      <c r="N1" s="23"/>
      <c r="O1" s="23"/>
      <c r="P1" s="23"/>
      <c r="Q1" s="23"/>
      <c r="R1" s="23"/>
      <c r="S1" s="23"/>
    </row>
    <row r="2" spans="2:19" ht="14.5" customHeight="1" x14ac:dyDescent="0.35">
      <c r="B2" s="24"/>
      <c r="C2" s="28"/>
      <c r="D2" s="24"/>
      <c r="E2" s="24"/>
      <c r="F2" s="24"/>
      <c r="G2" s="23"/>
      <c r="H2" s="23"/>
      <c r="I2" s="23"/>
      <c r="J2" s="23"/>
      <c r="K2" s="23"/>
      <c r="L2" s="23"/>
      <c r="M2" s="23"/>
      <c r="N2" s="23"/>
      <c r="O2" s="23"/>
      <c r="P2" s="23"/>
      <c r="Q2" s="23"/>
      <c r="R2" s="23"/>
      <c r="S2" s="23"/>
    </row>
    <row r="3" spans="2:19" ht="31" x14ac:dyDescent="0.7">
      <c r="B3" s="29"/>
      <c r="C3" s="27"/>
      <c r="D3" s="26"/>
      <c r="E3" s="26"/>
      <c r="F3" s="26"/>
    </row>
    <row r="4" spans="2:19" ht="18.5" x14ac:dyDescent="0.45">
      <c r="O4" s="36"/>
      <c r="P4" s="37"/>
      <c r="Q4" s="37"/>
      <c r="R4" s="37"/>
    </row>
    <row r="5" spans="2:19" ht="14.5" customHeight="1" x14ac:dyDescent="0.35"/>
    <row r="6" spans="2:19" x14ac:dyDescent="0.35">
      <c r="B6" s="25"/>
    </row>
  </sheetData>
  <phoneticPr fontId="8" type="noConversion"/>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D8A31-52FD-4615-87D9-F945129280BA}">
  <dimension ref="A2:B16"/>
  <sheetViews>
    <sheetView workbookViewId="0">
      <selection activeCell="B16" sqref="B16"/>
    </sheetView>
  </sheetViews>
  <sheetFormatPr defaultRowHeight="14.5" x14ac:dyDescent="0.35"/>
  <cols>
    <col min="1" max="1" width="20.7265625" customWidth="1"/>
  </cols>
  <sheetData>
    <row r="2" spans="1:2" x14ac:dyDescent="0.35">
      <c r="A2" t="s">
        <v>199</v>
      </c>
      <c r="B2">
        <f>COUNTA(case_data!A:A)-1</f>
        <v>120</v>
      </c>
    </row>
    <row r="3" spans="1:2" x14ac:dyDescent="0.35">
      <c r="A3" t="s">
        <v>201</v>
      </c>
      <c r="B3">
        <f>COUNTIF(case_data!H:H,"Approved")</f>
        <v>64</v>
      </c>
    </row>
    <row r="4" spans="1:2" x14ac:dyDescent="0.35">
      <c r="A4" t="s">
        <v>200</v>
      </c>
      <c r="B4">
        <f>COUNTIF(case_data!H:H,"Pending")</f>
        <v>56</v>
      </c>
    </row>
    <row r="5" spans="1:2" x14ac:dyDescent="0.35">
      <c r="A5" t="s">
        <v>202</v>
      </c>
      <c r="B5">
        <f>COUNTIF(case_data!K:K,"High")</f>
        <v>66</v>
      </c>
    </row>
    <row r="6" spans="1:2" x14ac:dyDescent="0.35">
      <c r="A6" t="s">
        <v>203</v>
      </c>
      <c r="B6">
        <f>COUNTIF(case_data!L:L,"ALERT")</f>
        <v>66</v>
      </c>
    </row>
    <row r="7" spans="1:2" x14ac:dyDescent="0.35">
      <c r="A7" t="s">
        <v>208</v>
      </c>
      <c r="B7" s="30">
        <f>B3/B2</f>
        <v>0.53333333333333333</v>
      </c>
    </row>
    <row r="8" spans="1:2" x14ac:dyDescent="0.35">
      <c r="A8" t="s">
        <v>205</v>
      </c>
      <c r="B8" s="30">
        <f>B4/B2</f>
        <v>0.46666666666666667</v>
      </c>
    </row>
    <row r="9" spans="1:2" x14ac:dyDescent="0.35">
      <c r="A9" t="s">
        <v>206</v>
      </c>
      <c r="B9" s="30" t="str">
        <f>"↑ " &amp;B3 &amp; " (" &amp; TEXT(B7,"0%") &amp; ")"</f>
        <v>↑ 64 (53%)</v>
      </c>
    </row>
    <row r="10" spans="1:2" x14ac:dyDescent="0.35">
      <c r="A10" t="s">
        <v>207</v>
      </c>
      <c r="B10" s="31" t="str">
        <f>"↓ " &amp;B4 &amp; " (" &amp; TEXT(B8,"0%") &amp; ")"</f>
        <v>↓ 56 (47%)</v>
      </c>
    </row>
    <row r="11" spans="1:2" x14ac:dyDescent="0.35">
      <c r="A11" t="s">
        <v>209</v>
      </c>
      <c r="B11" t="str">
        <f>" ↑" &amp;B5 &amp; " (" &amp; TEXT(B12,"0%") &amp; ")"</f>
        <v xml:space="preserve"> ↑66 (55%)</v>
      </c>
    </row>
    <row r="12" spans="1:2" x14ac:dyDescent="0.35">
      <c r="A12" t="s">
        <v>210</v>
      </c>
      <c r="B12" s="30">
        <f>B5/B2</f>
        <v>0.55000000000000004</v>
      </c>
    </row>
    <row r="13" spans="1:2" x14ac:dyDescent="0.35">
      <c r="A13" t="s">
        <v>211</v>
      </c>
      <c r="B13" s="30">
        <f>B6/B2</f>
        <v>0.55000000000000004</v>
      </c>
    </row>
    <row r="14" spans="1:2" x14ac:dyDescent="0.35">
      <c r="A14" t="s">
        <v>212</v>
      </c>
      <c r="B14" t="str">
        <f>"↑ " &amp;B6 &amp; " (" &amp; TEXT(B13,"0%") &amp; ")"</f>
        <v>↑ 66 (55%)</v>
      </c>
    </row>
    <row r="16" spans="1:2" x14ac:dyDescent="0.35">
      <c r="A16" t="s">
        <v>213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case_data</vt:lpstr>
      <vt:lpstr>FAQ_data</vt:lpstr>
      <vt:lpstr>Query_System</vt:lpstr>
      <vt:lpstr>Pivot_table</vt:lpstr>
      <vt:lpstr>Dashboard</vt:lpstr>
      <vt:lpstr>Calculations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DELL</cp:lastModifiedBy>
  <dcterms:created xsi:type="dcterms:W3CDTF">2026-03-16T14:04:22Z</dcterms:created>
  <dcterms:modified xsi:type="dcterms:W3CDTF">2026-03-26T11:16:19Z</dcterms:modified>
</cp:coreProperties>
</file>